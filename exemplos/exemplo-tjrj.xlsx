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d.docs.live.net/bc4094e10ac13de5/Canal - YouTube/"/>
    </mc:Choice>
  </mc:AlternateContent>
  <xr:revisionPtr revIDLastSave="2" documentId="11_7EC627D010D4A747AF37F1BFB008D128D60EE8FC" xr6:coauthVersionLast="47" xr6:coauthVersionMax="47" xr10:uidLastSave="{CE44B68B-A849-6145-BD06-308831A1AE70}"/>
  <bookViews>
    <workbookView xWindow="0" yWindow="620" windowWidth="51200" windowHeight="28180" xr2:uid="{00000000-000D-0000-FFFF-FFFF00000000}"/>
  </bookViews>
  <sheets>
    <sheet name="Verticalizado" sheetId="1" r:id="rId1"/>
    <sheet name="Resumo" sheetId="2" r:id="rId2"/>
    <sheet name="Como usar" sheetId="3" r:id="rId3"/>
  </sheets>
  <definedNames>
    <definedName name="_xlnm._FilterDatabase" localSheetId="0" hidden="1">Verticalizado!$A$3:$H$359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C7" i="2"/>
  <c r="B7" i="2"/>
  <c r="D7" i="2" s="1"/>
  <c r="C6" i="2"/>
  <c r="D6" i="2" s="1"/>
  <c r="B6" i="2"/>
  <c r="B5" i="2"/>
  <c r="D5" i="2" s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C15" i="2" s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C14" i="2" s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C13" i="2" s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C12" i="2" s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C11" i="2" s="1"/>
  <c r="D11" i="2" s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C10" i="2" s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C9" i="2" s="1"/>
  <c r="D9" i="2" s="1"/>
  <c r="I50" i="1"/>
  <c r="I49" i="1"/>
  <c r="I48" i="1"/>
  <c r="I47" i="1"/>
  <c r="I46" i="1"/>
  <c r="I45" i="1"/>
  <c r="I44" i="1"/>
  <c r="C8" i="2" s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C5" i="2" s="1"/>
  <c r="D8" i="2" l="1"/>
  <c r="D12" i="2"/>
  <c r="D10" i="2"/>
  <c r="D13" i="2"/>
  <c r="D14" i="2"/>
  <c r="C16" i="2"/>
  <c r="D15" i="2"/>
  <c r="B16" i="2"/>
  <c r="D16" i="2" s="1"/>
</calcChain>
</file>

<file path=xl/sharedStrings.xml><?xml version="1.0" encoding="utf-8"?>
<sst xmlns="http://schemas.openxmlformats.org/spreadsheetml/2006/main" count="1819" uniqueCount="576">
  <si>
    <t>Edital Verticalizado — plano de estudo</t>
  </si>
  <si>
    <t>TJRJ — Concurso Público 2025 · Sem especialidade</t>
  </si>
  <si>
    <t>Disciplina</t>
  </si>
  <si>
    <t>Nº</t>
  </si>
  <si>
    <t>Nível</t>
  </si>
  <si>
    <t>Conteúdo</t>
  </si>
  <si>
    <t>Status</t>
  </si>
  <si>
    <t>Incidência</t>
  </si>
  <si>
    <t>Prioridade</t>
  </si>
  <si>
    <t>Anotações</t>
  </si>
  <si>
    <t>_feito</t>
  </si>
  <si>
    <t>LÍNGUA PORTUGUESA</t>
  </si>
  <si>
    <t>1</t>
  </si>
  <si>
    <t>Compreensão e interpretação de textos de gêneros variados</t>
  </si>
  <si>
    <t>A estudar</t>
  </si>
  <si>
    <t>Sem dado</t>
  </si>
  <si>
    <t>2</t>
  </si>
  <si>
    <t>Reconhecimento de tipos e gêneros textuais</t>
  </si>
  <si>
    <t>3</t>
  </si>
  <si>
    <t>Domínio da ortografia oficial</t>
  </si>
  <si>
    <t>3.1</t>
  </si>
  <si>
    <t xml:space="preserve">   Emprego das letras</t>
  </si>
  <si>
    <t>3.2</t>
  </si>
  <si>
    <t xml:space="preserve">   Emprego da acentuação gráfica</t>
  </si>
  <si>
    <t>4</t>
  </si>
  <si>
    <t>Domínio dos mecanismos de coesão textual</t>
  </si>
  <si>
    <t>4.1</t>
  </si>
  <si>
    <t xml:space="preserve">   Emprego de elementos de referenciação, substituição e repetição, de conectores e outros elementos de sequenciação textual</t>
  </si>
  <si>
    <t>4.2</t>
  </si>
  <si>
    <t xml:space="preserve">   Emprego/correlação de tempos e modos verbais</t>
  </si>
  <si>
    <t>5</t>
  </si>
  <si>
    <t>Domínio da estrutura morfossintática do período</t>
  </si>
  <si>
    <t>5.1</t>
  </si>
  <si>
    <t xml:space="preserve">   Relações de coordenação entre orações e entre termos da oração</t>
  </si>
  <si>
    <t>5.2</t>
  </si>
  <si>
    <t xml:space="preserve">   Relações de subordinação entre orações e entre termos da oração</t>
  </si>
  <si>
    <t>5.3</t>
  </si>
  <si>
    <t xml:space="preserve">   Emprego dos sinais de pontuação</t>
  </si>
  <si>
    <t>5.4</t>
  </si>
  <si>
    <t xml:space="preserve">   Concordância verbal e nominal</t>
  </si>
  <si>
    <t>5.5</t>
  </si>
  <si>
    <t xml:space="preserve">   Emprego do sinal indicativo de crase</t>
  </si>
  <si>
    <t>5.6</t>
  </si>
  <si>
    <t xml:space="preserve">   Colocação dos pronomes átonos</t>
  </si>
  <si>
    <t>6</t>
  </si>
  <si>
    <t>Reescritura de frases e parágrafos do texto</t>
  </si>
  <si>
    <t>6.1</t>
  </si>
  <si>
    <t xml:space="preserve">   Substituição de palavras ou de trechos de texto</t>
  </si>
  <si>
    <t>6.2</t>
  </si>
  <si>
    <t xml:space="preserve">   Retextualização de diferentes gêneros e níveis de formalidade</t>
  </si>
  <si>
    <t>LEGISLAÇÃO ESPECIAL</t>
  </si>
  <si>
    <t>Lei Estadual nº 10.633/2024</t>
  </si>
  <si>
    <t>Decreto-Lei nº 220/1975 e suas alterações (Estatuto dos Funcionários Públicos Civis do Poder Executivo do Estado do Rio de Janeiro)</t>
  </si>
  <si>
    <t>Decreto nº 2.479/1979 e suas alterações (Regulamenta o Estatuto dos Funcionários Públicos Civis do Poder Executivo do Estado do Rio de Janeiro)</t>
  </si>
  <si>
    <t>Lei Estadual nº 9.748/2022 e suas alterações (Dispõe sobre o Quadro Único de Pessoal do Poder Judiciário do Estado do Rio de Janeiro)</t>
  </si>
  <si>
    <t>Código de Normas da Corregedoria Geral da Justiça, parte judicial: Livro I - Parte Geral</t>
  </si>
  <si>
    <t xml:space="preserve">   Da Corregedoria Geral da Justiça</t>
  </si>
  <si>
    <t>5.1.1</t>
  </si>
  <si>
    <t xml:space="preserve">      Da Estrutura e do Funcionamento: Dos Atos Normativos; Dos Órgãos e Funções de Assessoramento e Execução; Dos Meios de Comunicação entre os Serviços Judiciários</t>
  </si>
  <si>
    <t>5.1.2</t>
  </si>
  <si>
    <t xml:space="preserve">      Da Função Correicional: Das Correições, Fiscalizações e Inspeções; Da Responsabilidade Disciplinar</t>
  </si>
  <si>
    <t>5.1.3</t>
  </si>
  <si>
    <t xml:space="preserve">      Dos Recursos</t>
  </si>
  <si>
    <t>5.1.4</t>
  </si>
  <si>
    <t xml:space="preserve">      Dos Deveres: Dos Deveres dos Responsáveis pelo Gerenciamento das Varas; Do Horário de Trabalho; Da Ausência do Chefe de Serventia e da Vacância da Função; Da Utilização do Sistema de Processamento de Dados; da Expedição De Certidões</t>
  </si>
  <si>
    <t>5.1.5</t>
  </si>
  <si>
    <t xml:space="preserve">      Das Custas Judiciais: Disposições Gerais; Do Recolhimento das Custas e a Certificação pelas Varas</t>
  </si>
  <si>
    <t>Regimento Interno do TJRJ</t>
  </si>
  <si>
    <t xml:space="preserve">   Da competência</t>
  </si>
  <si>
    <t>6.1.1</t>
  </si>
  <si>
    <t xml:space="preserve">      Do Tribunal Pleno e do Órgão Especial</t>
  </si>
  <si>
    <t>6.1.2</t>
  </si>
  <si>
    <t xml:space="preserve">      Do Conselho da Magistratura</t>
  </si>
  <si>
    <t>7</t>
  </si>
  <si>
    <t>Resolução Órgão Especial nº 3/2025; Anexo Consolidado: Da Estrutura Organizacional do Poder Judiciário, Título I - Seção II - Do Gabinete da Presidência; Título II - Das Secretarias-Gerais; Capítulo II - Da Secretaria-Geral Judiciária; Seção II - Do Departamento de Processos do Tribunal Pleno e do Órgão Especial; Seção III - Do Departamento de Processos do Conselho da Magistratura; Seção IV - Do Departamento de Processos das Seções de Direito Privado e de Direito Público. Capítulo II - Da Corregedoria-Geral da Justiça</t>
  </si>
  <si>
    <t>NOÇÕES DOS DIREITOS DAS PESSOAS COM DEFICIÊNCIA</t>
  </si>
  <si>
    <t>Inclusão, direitos e garantias legais e constitucionais das pessoas com deficiência (Lei nº 13.146/2015 e suas alterações)</t>
  </si>
  <si>
    <t>Normas gerais e critérios básicos para a promoção da acessibilidade das pessoas com deficiência ou com mobilidade reduzida (Lei nº 10.098/2000 e suas alterações)</t>
  </si>
  <si>
    <t>Prioridade de atendimento às pessoas com deficiência, as pessoas com transtorno do espectro autista, as pessoas idosas com idade igual ou superior a 60 anos, as gestantes, as lactantes, as pessoas com criança de colo, os obesos, as pessoas com mobilidade reduzida e os doadores de sangue (Lei nº 10.048/2000 com redação dada pela Lei nº 14.626/2023)</t>
  </si>
  <si>
    <t>ÉTICA NO SERVIÇO PÚBLICO</t>
  </si>
  <si>
    <t>Ética e moral</t>
  </si>
  <si>
    <t>Ética, princípios e valores</t>
  </si>
  <si>
    <t>Ética e democracia: exercício da cidadania</t>
  </si>
  <si>
    <t>Ética e função pública</t>
  </si>
  <si>
    <t>Ética no setor público</t>
  </si>
  <si>
    <t>Lei nº 8.429/1992 e suas alterações</t>
  </si>
  <si>
    <t xml:space="preserve">   Disposições gerais</t>
  </si>
  <si>
    <t xml:space="preserve">   Atos de improbidade administrativa</t>
  </si>
  <si>
    <t>Lei nº 12.846/2013 e suas alterações</t>
  </si>
  <si>
    <t>8</t>
  </si>
  <si>
    <t>Código de Ética e Conduta dos Servidores e Colaboradores da Corregedoria Geral da Justiça do Estado do Rio de Janeiro (Resolução Órgão Especial nº 15/2023)</t>
  </si>
  <si>
    <t>DIREITO ADMINISTRATIVO</t>
  </si>
  <si>
    <t>Estado, governo e administração pública</t>
  </si>
  <si>
    <t>1.1</t>
  </si>
  <si>
    <t xml:space="preserve">   Conceitos</t>
  </si>
  <si>
    <t>Direito administrativo</t>
  </si>
  <si>
    <t>2.1</t>
  </si>
  <si>
    <t xml:space="preserve">   Conceito</t>
  </si>
  <si>
    <t>2.2</t>
  </si>
  <si>
    <t xml:space="preserve">   Objeto</t>
  </si>
  <si>
    <t>2.3</t>
  </si>
  <si>
    <t xml:space="preserve">   Fontes</t>
  </si>
  <si>
    <t>Ato administrativo</t>
  </si>
  <si>
    <t xml:space="preserve">   Conceito, requisitos, atributos, classificação e espécies</t>
  </si>
  <si>
    <t xml:space="preserve">   Extinção do ato administrativo</t>
  </si>
  <si>
    <t>3.2.1</t>
  </si>
  <si>
    <t xml:space="preserve">      Cassação, anulação, revogação e convalidação</t>
  </si>
  <si>
    <t>3.3</t>
  </si>
  <si>
    <t xml:space="preserve">   Decadência administrativa</t>
  </si>
  <si>
    <t>Agentes públicos</t>
  </si>
  <si>
    <t xml:space="preserve">   Espécies</t>
  </si>
  <si>
    <t>4.3</t>
  </si>
  <si>
    <t xml:space="preserve">   Cargo, emprego e função pública</t>
  </si>
  <si>
    <t>4.3.1</t>
  </si>
  <si>
    <t xml:space="preserve">      Provimento</t>
  </si>
  <si>
    <t>4.3.2</t>
  </si>
  <si>
    <t xml:space="preserve">      Vacância</t>
  </si>
  <si>
    <t>4.3.3</t>
  </si>
  <si>
    <t xml:space="preserve">      Efetividade, estabilidade e vitaliciedade</t>
  </si>
  <si>
    <t>4.4</t>
  </si>
  <si>
    <t xml:space="preserve">   Remuneração</t>
  </si>
  <si>
    <t>4.5</t>
  </si>
  <si>
    <t xml:space="preserve">   Direitos e deveres</t>
  </si>
  <si>
    <t>4.6</t>
  </si>
  <si>
    <t xml:space="preserve">   Responsabilidade</t>
  </si>
  <si>
    <t>4.7</t>
  </si>
  <si>
    <t xml:space="preserve">   Processo administrativo disciplinar</t>
  </si>
  <si>
    <t>4.8</t>
  </si>
  <si>
    <t xml:space="preserve">   Disposições constitucionais aplicáveis</t>
  </si>
  <si>
    <t>Poderes da administração pública</t>
  </si>
  <si>
    <t xml:space="preserve">   Hierárquico, disciplinar, regulamentar e de polícia</t>
  </si>
  <si>
    <t xml:space="preserve">   Uso e abuso de poder</t>
  </si>
  <si>
    <t>Regime jurídico-administrativo</t>
  </si>
  <si>
    <t xml:space="preserve">   Princípios expressos e implícitos da administração pública</t>
  </si>
  <si>
    <t>Responsabilidade civil do Estado</t>
  </si>
  <si>
    <t>7.1</t>
  </si>
  <si>
    <t xml:space="preserve">   Evolução histórica</t>
  </si>
  <si>
    <t>7.2</t>
  </si>
  <si>
    <t xml:space="preserve">   Responsabilidade por ato comissivo do Estado</t>
  </si>
  <si>
    <t>7.3</t>
  </si>
  <si>
    <t xml:space="preserve">   Responsabilidade por omissão do Estado</t>
  </si>
  <si>
    <t>7.4</t>
  </si>
  <si>
    <t xml:space="preserve">   Requisitos para a demonstração da responsabilidade do Estado</t>
  </si>
  <si>
    <t>7.5</t>
  </si>
  <si>
    <t xml:space="preserve">   Causas excludentes e atenuantes da responsabilidade do Estado</t>
  </si>
  <si>
    <t>7.6</t>
  </si>
  <si>
    <t xml:space="preserve">   Reparação do dano. 7.7 Direito de regresso</t>
  </si>
  <si>
    <t>Serviços públicos</t>
  </si>
  <si>
    <t>8.1</t>
  </si>
  <si>
    <t>8.2</t>
  </si>
  <si>
    <t xml:space="preserve">   Elementos constitutivos</t>
  </si>
  <si>
    <t>8.3</t>
  </si>
  <si>
    <t xml:space="preserve">   Formas de prestação e meios de execução</t>
  </si>
  <si>
    <t>8.4</t>
  </si>
  <si>
    <t xml:space="preserve">   Delegação</t>
  </si>
  <si>
    <t>8.4.1</t>
  </si>
  <si>
    <t xml:space="preserve">      Concessão, permissão e autorização</t>
  </si>
  <si>
    <t>8.5</t>
  </si>
  <si>
    <t xml:space="preserve">   Classificação</t>
  </si>
  <si>
    <t>8.6</t>
  </si>
  <si>
    <t xml:space="preserve">   Princípios</t>
  </si>
  <si>
    <t>9</t>
  </si>
  <si>
    <t>Organização administrativa</t>
  </si>
  <si>
    <t>9.1</t>
  </si>
  <si>
    <t xml:space="preserve">   Autarquias, fundações, empresas públicas e sociedades de economia mista</t>
  </si>
  <si>
    <t>9.2</t>
  </si>
  <si>
    <t xml:space="preserve">   Entidades paraestatais e terceiro setor</t>
  </si>
  <si>
    <t>9.2.1</t>
  </si>
  <si>
    <t xml:space="preserve">      Serviços sociais autônomos, entidades de apoio, organizações sociais, organizações da sociedade civil de interesse público</t>
  </si>
  <si>
    <t>10</t>
  </si>
  <si>
    <t>Controle da administração pública</t>
  </si>
  <si>
    <t>10.1</t>
  </si>
  <si>
    <t xml:space="preserve">   Controle exercido pela administração pública</t>
  </si>
  <si>
    <t>10.2</t>
  </si>
  <si>
    <t xml:space="preserve">   Controle judicial</t>
  </si>
  <si>
    <t>10.3</t>
  </si>
  <si>
    <t xml:space="preserve">   Controle legislativo</t>
  </si>
  <si>
    <t>10.4</t>
  </si>
  <si>
    <t xml:space="preserve">   Lei nº 8.429/1992 e suas alterações (Improbidade Administrativa)</t>
  </si>
  <si>
    <t>11</t>
  </si>
  <si>
    <t>Lei nº 9.784/1999 e suas alterações (Processo Administrativo)</t>
  </si>
  <si>
    <t>12</t>
  </si>
  <si>
    <t>Licitações e contratos administrativos</t>
  </si>
  <si>
    <t>12.1</t>
  </si>
  <si>
    <t xml:space="preserve">   Lei nº 14.133/2021 e suas alterações</t>
  </si>
  <si>
    <t>DIREITO CONSTITUCIONAL</t>
  </si>
  <si>
    <t>Aplicabilidade das normas constitucionais</t>
  </si>
  <si>
    <t xml:space="preserve">   Normas de eficácia plena, contida e limitada</t>
  </si>
  <si>
    <t>1.2</t>
  </si>
  <si>
    <t xml:space="preserve">   Normas programáticas</t>
  </si>
  <si>
    <t>Constituição da República Federativa do Brasil de 1988</t>
  </si>
  <si>
    <t xml:space="preserve">   Princípios fundamentais</t>
  </si>
  <si>
    <t xml:space="preserve">   Direitos e garantias fundamentais</t>
  </si>
  <si>
    <t>2.2.1</t>
  </si>
  <si>
    <t xml:space="preserve">      Dos Direitos e Deveres Individuais e Coletivos</t>
  </si>
  <si>
    <t>2.2.2</t>
  </si>
  <si>
    <t xml:space="preserve">      Dos Direitos Sociais</t>
  </si>
  <si>
    <t>2.2.3</t>
  </si>
  <si>
    <t xml:space="preserve">      Da Nacionalidade</t>
  </si>
  <si>
    <t>2.2.4</t>
  </si>
  <si>
    <t xml:space="preserve">      Dos Direitos Políticos</t>
  </si>
  <si>
    <t>2.2.5</t>
  </si>
  <si>
    <t xml:space="preserve">      Dos Partidos Políticos</t>
  </si>
  <si>
    <t xml:space="preserve">   Organização político-administrativa do Estado</t>
  </si>
  <si>
    <t>2.3.1</t>
  </si>
  <si>
    <t xml:space="preserve">      Estado federal brasileiro, União, estados, Distrito Federal, municípios e territórios</t>
  </si>
  <si>
    <t>2.4</t>
  </si>
  <si>
    <t xml:space="preserve">   Poder Legislativo</t>
  </si>
  <si>
    <t>2.4.1</t>
  </si>
  <si>
    <t xml:space="preserve">      Do Congresso Nacional e suas Atribuições</t>
  </si>
  <si>
    <t>2.4.2</t>
  </si>
  <si>
    <t xml:space="preserve">      Da Câmara dos Deputados e dos Deputados</t>
  </si>
  <si>
    <t>2.4.3</t>
  </si>
  <si>
    <t xml:space="preserve">      Do Senado Federal e dos Senadores</t>
  </si>
  <si>
    <t>2.4.4</t>
  </si>
  <si>
    <t xml:space="preserve">      Das Reuniões e das Comissões</t>
  </si>
  <si>
    <t>2.4.5</t>
  </si>
  <si>
    <t xml:space="preserve">      Do Processo Legislativo</t>
  </si>
  <si>
    <t>2.4.6</t>
  </si>
  <si>
    <t xml:space="preserve">      Da Fiscalização Contábil, Financeira e Orçamentária</t>
  </si>
  <si>
    <t>2.5</t>
  </si>
  <si>
    <t xml:space="preserve">   Poder Executivo</t>
  </si>
  <si>
    <t>2.5.1</t>
  </si>
  <si>
    <t xml:space="preserve">      Do Presidente e do Vice-Presidente da República</t>
  </si>
  <si>
    <t>2.5.2</t>
  </si>
  <si>
    <t xml:space="preserve">      Das Atribuições e Responsabilidades do Presidente da República</t>
  </si>
  <si>
    <t>2.5.3</t>
  </si>
  <si>
    <t xml:space="preserve">      Da Responsabilidade do Presidente da República</t>
  </si>
  <si>
    <t>2.5.4</t>
  </si>
  <si>
    <t xml:space="preserve">      Dos Ministros de Estado</t>
  </si>
  <si>
    <t>2.5.5</t>
  </si>
  <si>
    <t xml:space="preserve">      Do Conselho da República e do Conselho de Defesa Nacional</t>
  </si>
  <si>
    <t>2.6</t>
  </si>
  <si>
    <t xml:space="preserve">   Poder Judiciário</t>
  </si>
  <si>
    <t>2.6.1</t>
  </si>
  <si>
    <t xml:space="preserve">      Disposições gerais</t>
  </si>
  <si>
    <t>2.6.2</t>
  </si>
  <si>
    <t xml:space="preserve">      Órgãos do Poder Judiciário</t>
  </si>
  <si>
    <t>2.6.2.1</t>
  </si>
  <si>
    <t xml:space="preserve">         Organização e competências, Conselho Nacional de Justiça</t>
  </si>
  <si>
    <t>2.7</t>
  </si>
  <si>
    <t xml:space="preserve">   Funções essenciais à justiça</t>
  </si>
  <si>
    <t>2.7.1</t>
  </si>
  <si>
    <t xml:space="preserve">      Ministério Público, Advocacia Pública e Defensoria Pública</t>
  </si>
  <si>
    <t>DIREITO CIVIL</t>
  </si>
  <si>
    <t>Lei de Introdução às Normas do Direito Brasileiro</t>
  </si>
  <si>
    <t xml:space="preserve">   Vigência, aplicação, obrigatoriedade, interpretação e integração das leis</t>
  </si>
  <si>
    <t xml:space="preserve">   Conflito das leis no tempo</t>
  </si>
  <si>
    <t>1.3</t>
  </si>
  <si>
    <t xml:space="preserve">   Eficácia das leis no espaço</t>
  </si>
  <si>
    <t>Pessoas naturais</t>
  </si>
  <si>
    <t xml:space="preserve">   Início da pessoa natural</t>
  </si>
  <si>
    <t xml:space="preserve">   Personalidade</t>
  </si>
  <si>
    <t xml:space="preserve">   Capacidade</t>
  </si>
  <si>
    <t xml:space="preserve">   Direitos da personalidade</t>
  </si>
  <si>
    <t xml:space="preserve">   Nome civil</t>
  </si>
  <si>
    <t xml:space="preserve">   Estado civil</t>
  </si>
  <si>
    <t>2.8</t>
  </si>
  <si>
    <t xml:space="preserve">   Domicílio</t>
  </si>
  <si>
    <t>2.9</t>
  </si>
  <si>
    <t xml:space="preserve">   Ausência</t>
  </si>
  <si>
    <t>Pessoas jurídicas</t>
  </si>
  <si>
    <t xml:space="preserve">   Disposições Gerais</t>
  </si>
  <si>
    <t xml:space="preserve">   Conceito e Elementos Caracterizadores</t>
  </si>
  <si>
    <t xml:space="preserve">   Constituição</t>
  </si>
  <si>
    <t>3.4</t>
  </si>
  <si>
    <t xml:space="preserve">   Extinção</t>
  </si>
  <si>
    <t>3.5</t>
  </si>
  <si>
    <t xml:space="preserve">   Capacidade e direitos da personalidade</t>
  </si>
  <si>
    <t>3.6</t>
  </si>
  <si>
    <t xml:space="preserve">   Sociedades de fato</t>
  </si>
  <si>
    <t>3.7</t>
  </si>
  <si>
    <t xml:space="preserve">   Associações</t>
  </si>
  <si>
    <t>3.8</t>
  </si>
  <si>
    <t xml:space="preserve">   Sociedades</t>
  </si>
  <si>
    <t>3.9</t>
  </si>
  <si>
    <t xml:space="preserve">   Fundações</t>
  </si>
  <si>
    <t>3.10</t>
  </si>
  <si>
    <t xml:space="preserve">   Grupos despersonalizados</t>
  </si>
  <si>
    <t>3.11</t>
  </si>
  <si>
    <t xml:space="preserve">   Desconsideração da personalidade jurídica</t>
  </si>
  <si>
    <t>3.12</t>
  </si>
  <si>
    <t xml:space="preserve">   Responsabilidade da pessoa jurídica e dos sócios</t>
  </si>
  <si>
    <t>Bens</t>
  </si>
  <si>
    <t xml:space="preserve">   Diferentes classes</t>
  </si>
  <si>
    <t xml:space="preserve">   Bens Corpóreos e incorpóreos</t>
  </si>
  <si>
    <t xml:space="preserve">   Bens no comércio e fora do comércio</t>
  </si>
  <si>
    <t>Fato jurídico</t>
  </si>
  <si>
    <t>Negócio jurídico</t>
  </si>
  <si>
    <t xml:space="preserve">   Classificação e interpretação</t>
  </si>
  <si>
    <t>6.3</t>
  </si>
  <si>
    <t xml:space="preserve">   Elementos</t>
  </si>
  <si>
    <t>6.4</t>
  </si>
  <si>
    <t xml:space="preserve">   Representação</t>
  </si>
  <si>
    <t>6.5</t>
  </si>
  <si>
    <t xml:space="preserve">   Condição, termo e encargo</t>
  </si>
  <si>
    <t>6.6</t>
  </si>
  <si>
    <t xml:space="preserve">   Defeitos do negócio jurídico</t>
  </si>
  <si>
    <t>6.7</t>
  </si>
  <si>
    <t xml:space="preserve">   Existência, eficácia, validade, invalidade e nulidade do negócio jurídico</t>
  </si>
  <si>
    <t>6.8</t>
  </si>
  <si>
    <t xml:space="preserve">   Simulação</t>
  </si>
  <si>
    <t>Atos jurídicos lícitos e ilícitos</t>
  </si>
  <si>
    <t>Prescrição e decadência</t>
  </si>
  <si>
    <t>Prova do fato jurídico</t>
  </si>
  <si>
    <t>Contratos</t>
  </si>
  <si>
    <t xml:space="preserve">   Contratos em geral</t>
  </si>
  <si>
    <t>10.5</t>
  </si>
  <si>
    <t xml:space="preserve">   Interpretação</t>
  </si>
  <si>
    <t>10.6</t>
  </si>
  <si>
    <t>10.7</t>
  </si>
  <si>
    <t xml:space="preserve">   Espécies de contratos regulados no Código Civil</t>
  </si>
  <si>
    <t>DIREITO PROCESSUAL CIVIL</t>
  </si>
  <si>
    <t>Lei nº 13.105/2015 e suas alterações (Código de Processo Civil)</t>
  </si>
  <si>
    <t>Normas processuais civis</t>
  </si>
  <si>
    <t>A jurisdição</t>
  </si>
  <si>
    <t>A Ação</t>
  </si>
  <si>
    <t xml:space="preserve">   Conceito, natureza, elementos e características</t>
  </si>
  <si>
    <t xml:space="preserve">   Condições da ação</t>
  </si>
  <si>
    <t>Da Cooperação Internacional</t>
  </si>
  <si>
    <t xml:space="preserve">   Do auxílio direto</t>
  </si>
  <si>
    <t xml:space="preserve">   Da carta rogatória</t>
  </si>
  <si>
    <t>Da Competência</t>
  </si>
  <si>
    <t xml:space="preserve">   Da modificação da competência</t>
  </si>
  <si>
    <t xml:space="preserve">   Da incompetência</t>
  </si>
  <si>
    <t>Pressupostos processuais</t>
  </si>
  <si>
    <t>Preclusão</t>
  </si>
  <si>
    <t>Sujeitos do processo</t>
  </si>
  <si>
    <t xml:space="preserve">   Capacidade processual e postulatória</t>
  </si>
  <si>
    <t xml:space="preserve">   Deveres das partes e procuradores</t>
  </si>
  <si>
    <t>9.3</t>
  </si>
  <si>
    <t xml:space="preserve">   Procuradores</t>
  </si>
  <si>
    <t>9.4</t>
  </si>
  <si>
    <t xml:space="preserve">   Sucessão das partes e dos procuradores</t>
  </si>
  <si>
    <t>9.5</t>
  </si>
  <si>
    <t xml:space="preserve">   Litisconsórcio</t>
  </si>
  <si>
    <t>Intervenção de terceiros</t>
  </si>
  <si>
    <t>Do Juiz e dos Auxiliares da Justiça</t>
  </si>
  <si>
    <t>11.1</t>
  </si>
  <si>
    <t xml:space="preserve">   Dos poderes, dos deveres e da responsabilidade do Juiz</t>
  </si>
  <si>
    <t>11.2</t>
  </si>
  <si>
    <t xml:space="preserve">   Dos Impedimentos e da Suspeição</t>
  </si>
  <si>
    <t>11.3</t>
  </si>
  <si>
    <t xml:space="preserve">   Dos Auxiliares da Justiça</t>
  </si>
  <si>
    <t>Ministério Público</t>
  </si>
  <si>
    <t>13</t>
  </si>
  <si>
    <t>Advocacia Pública</t>
  </si>
  <si>
    <t>14</t>
  </si>
  <si>
    <t>Defensoria Pública</t>
  </si>
  <si>
    <t>15</t>
  </si>
  <si>
    <t>Atos processuais</t>
  </si>
  <si>
    <t>15.1</t>
  </si>
  <si>
    <t xml:space="preserve">   Forma dos atos</t>
  </si>
  <si>
    <t>15.2</t>
  </si>
  <si>
    <t xml:space="preserve">   Tempo e lugar</t>
  </si>
  <si>
    <t>15.3</t>
  </si>
  <si>
    <t xml:space="preserve">   Prazos</t>
  </si>
  <si>
    <t>15.4</t>
  </si>
  <si>
    <t xml:space="preserve">   Comunicação dos atos processuais</t>
  </si>
  <si>
    <t>15.5</t>
  </si>
  <si>
    <t xml:space="preserve">   Nulidades</t>
  </si>
  <si>
    <t>15.6</t>
  </si>
  <si>
    <t xml:space="preserve">   Distribuição e registro</t>
  </si>
  <si>
    <t>15.7</t>
  </si>
  <si>
    <t xml:space="preserve">   Valor da causa</t>
  </si>
  <si>
    <t>16</t>
  </si>
  <si>
    <t>Tutela provisória</t>
  </si>
  <si>
    <t>16.1</t>
  </si>
  <si>
    <t xml:space="preserve">   Tutela de urgência</t>
  </si>
  <si>
    <t>16.2</t>
  </si>
  <si>
    <t>17</t>
  </si>
  <si>
    <t>Formação, suspensão e extinção do processo</t>
  </si>
  <si>
    <t>18</t>
  </si>
  <si>
    <t>Processo de conhecimento e do cumprimento de sentença</t>
  </si>
  <si>
    <t>18.1</t>
  </si>
  <si>
    <t xml:space="preserve">   Procedimento comum</t>
  </si>
  <si>
    <t>18.2</t>
  </si>
  <si>
    <t>18.3</t>
  </si>
  <si>
    <t xml:space="preserve">   Petição inicial</t>
  </si>
  <si>
    <t>18.3.1</t>
  </si>
  <si>
    <t xml:space="preserve">      Dos requisitos da petição inicial</t>
  </si>
  <si>
    <t>18.3.2</t>
  </si>
  <si>
    <t xml:space="preserve">      Do pedido</t>
  </si>
  <si>
    <t>18.3.3</t>
  </si>
  <si>
    <t xml:space="preserve">      Do indeferimento da petição inicial</t>
  </si>
  <si>
    <t>18.4</t>
  </si>
  <si>
    <t xml:space="preserve">   Improcedência liminar do pedido</t>
  </si>
  <si>
    <t>18.5</t>
  </si>
  <si>
    <t xml:space="preserve">   Da conversão da ação individual em ação coletiva</t>
  </si>
  <si>
    <t>18.6</t>
  </si>
  <si>
    <t xml:space="preserve">   Da audiência de conciliação ou de mediação</t>
  </si>
  <si>
    <t>18.7</t>
  </si>
  <si>
    <t xml:space="preserve">   Contestação, reconvenção e revelia</t>
  </si>
  <si>
    <t>18.8</t>
  </si>
  <si>
    <t xml:space="preserve">   Providências preliminares e de saneamento</t>
  </si>
  <si>
    <t>18.9</t>
  </si>
  <si>
    <t xml:space="preserve">   Julgamento conforme o estado do processo</t>
  </si>
  <si>
    <t>18.10</t>
  </si>
  <si>
    <t xml:space="preserve">   Da audiência de instrução e julgamento</t>
  </si>
  <si>
    <t>18.11</t>
  </si>
  <si>
    <t xml:space="preserve">   Provas</t>
  </si>
  <si>
    <t>18.12</t>
  </si>
  <si>
    <t xml:space="preserve">   Sentença e coisa julgada</t>
  </si>
  <si>
    <t>18.13</t>
  </si>
  <si>
    <t xml:space="preserve">   Cumprimento da sentença e sua impugnação</t>
  </si>
  <si>
    <t>19</t>
  </si>
  <si>
    <t>Teoria Geral dos Recursos</t>
  </si>
  <si>
    <t>19.1</t>
  </si>
  <si>
    <t xml:space="preserve">   Dos recursos</t>
  </si>
  <si>
    <t>19.2</t>
  </si>
  <si>
    <t>19.3</t>
  </si>
  <si>
    <t xml:space="preserve">   Da apelação</t>
  </si>
  <si>
    <t>19.4</t>
  </si>
  <si>
    <t xml:space="preserve">   Do agravo de instrumento</t>
  </si>
  <si>
    <t>19.5</t>
  </si>
  <si>
    <t xml:space="preserve">   Do agravo interno. 19.6 Dos Embargos de Declaração</t>
  </si>
  <si>
    <t>19.7</t>
  </si>
  <si>
    <t xml:space="preserve">   Dos recursos para o Supremo nos tribunais e meios de impugnação das decisões judiciais</t>
  </si>
  <si>
    <t>22</t>
  </si>
  <si>
    <t>Mandado de segurança</t>
  </si>
  <si>
    <t>23</t>
  </si>
  <si>
    <t>Ação popular</t>
  </si>
  <si>
    <t>24</t>
  </si>
  <si>
    <t>Ação civil pública</t>
  </si>
  <si>
    <t>25</t>
  </si>
  <si>
    <t>Ação de improbidade administrativa</t>
  </si>
  <si>
    <t>26</t>
  </si>
  <si>
    <t>Lei nº 11.419/2006 (Processo Judicial Eletrônico)</t>
  </si>
  <si>
    <t>DIREITO PENAL</t>
  </si>
  <si>
    <t>Princípios aplicáveis ao Direito Penal</t>
  </si>
  <si>
    <t>Aplicação da lei penal</t>
  </si>
  <si>
    <t xml:space="preserve">   A lei penal no tempo e no espaço</t>
  </si>
  <si>
    <t xml:space="preserve">   Tempo e lugar do crime</t>
  </si>
  <si>
    <t xml:space="preserve">   Interpretação da lei penal</t>
  </si>
  <si>
    <t xml:space="preserve">   Analogia</t>
  </si>
  <si>
    <t xml:space="preserve">   Irretroatividade da lei penal</t>
  </si>
  <si>
    <t xml:space="preserve">   Conflito aparente de normas penais</t>
  </si>
  <si>
    <t>Ilicitude</t>
  </si>
  <si>
    <t>Culpabilidade</t>
  </si>
  <si>
    <t>Concurso de Pessoas</t>
  </si>
  <si>
    <t>Penas</t>
  </si>
  <si>
    <t xml:space="preserve">   Espécies de penas</t>
  </si>
  <si>
    <t xml:space="preserve">   Cominação das penas</t>
  </si>
  <si>
    <t>Ação penal</t>
  </si>
  <si>
    <t>Punibilidade e causas de extinção</t>
  </si>
  <si>
    <t>Prescrição</t>
  </si>
  <si>
    <t>Crimes contra a fé pública</t>
  </si>
  <si>
    <t>Crimes contra a Administração Pública</t>
  </si>
  <si>
    <t>Lei nº 13.869/2019 e suas alterações (Abuso de autoridade)</t>
  </si>
  <si>
    <t>Lei nº 9.613/1998 e suas alterações (Lavagem de dinheiro)</t>
  </si>
  <si>
    <t>Disposições constitucionais aplicáveis ao direito penal</t>
  </si>
  <si>
    <t>Crimes e sanções penais na licitação (Lei nº 14.133/2021 e suas alterações)</t>
  </si>
  <si>
    <t>Crimes de responsabilidade fiscal (Lei nº 10.028/2000)</t>
  </si>
  <si>
    <t>DIREITO PROCESSUAL PENAL</t>
  </si>
  <si>
    <t>Processo penal brasileiro; processo penal constitucional</t>
  </si>
  <si>
    <t>Sistemas e princípios fundamentais</t>
  </si>
  <si>
    <t>Aplicação da lei processual no tempo, no espaço e em relação às pessoas</t>
  </si>
  <si>
    <t xml:space="preserve">   Disposições preliminares do Código de Processo Penal</t>
  </si>
  <si>
    <t>Fase pré-processual</t>
  </si>
  <si>
    <t xml:space="preserve">   Inquérito policial</t>
  </si>
  <si>
    <t>Processo, procedimento e relação jurídica processual</t>
  </si>
  <si>
    <t xml:space="preserve">   Elementos identificadores da relação processual</t>
  </si>
  <si>
    <t xml:space="preserve">   Formas do procedimento</t>
  </si>
  <si>
    <t xml:space="preserve">   Princípios gerais e informadores do processo</t>
  </si>
  <si>
    <t xml:space="preserve">   Pretensão punitiva</t>
  </si>
  <si>
    <t xml:space="preserve">   Tipos de processo penal</t>
  </si>
  <si>
    <t>Ação civil Ex Delicto</t>
  </si>
  <si>
    <t>Jurisdição e competência</t>
  </si>
  <si>
    <t>Questões e processos incidentes</t>
  </si>
  <si>
    <t>Prova</t>
  </si>
  <si>
    <t>Do Juiz, Do Ministério Público, Do Acusado e Defensor, Dos Assistentes e Auxiliares da Justiça</t>
  </si>
  <si>
    <t>Prisão, medidas cautelares, e liberdade provisória e prisão temporária (Lei nº 7.960/1989 e suas alterações)</t>
  </si>
  <si>
    <t>Citações e intimações</t>
  </si>
  <si>
    <t>Atos processuais e atos judiciais</t>
  </si>
  <si>
    <t>Do processo comum</t>
  </si>
  <si>
    <t xml:space="preserve">   Da Instrução criminal</t>
  </si>
  <si>
    <t xml:space="preserve">   Do procedimento relativo aos processos da competência do tribunal do júri</t>
  </si>
  <si>
    <t>15.2.1</t>
  </si>
  <si>
    <t xml:space="preserve">      Da acusação e da instrução preliminar</t>
  </si>
  <si>
    <t>15.2.2</t>
  </si>
  <si>
    <t xml:space="preserve">      Da pronúncia, da impronúncia e da absolvição sumária</t>
  </si>
  <si>
    <t>15.2.3</t>
  </si>
  <si>
    <t xml:space="preserve">      Da preparação do processo para julgamento em plenário</t>
  </si>
  <si>
    <t>15.2.4</t>
  </si>
  <si>
    <t xml:space="preserve">      Do alistamento dos jurados</t>
  </si>
  <si>
    <t>15.2.5</t>
  </si>
  <si>
    <t xml:space="preserve">      Do desaforamento</t>
  </si>
  <si>
    <t>15.2.6</t>
  </si>
  <si>
    <t xml:space="preserve">      Da organização da pauta</t>
  </si>
  <si>
    <t>15.2.7</t>
  </si>
  <si>
    <t xml:space="preserve">      Do sorteio e da convocação dos jurados</t>
  </si>
  <si>
    <t>15.2.8</t>
  </si>
  <si>
    <t xml:space="preserve">      Da função do jurado</t>
  </si>
  <si>
    <t>15.2.9</t>
  </si>
  <si>
    <t xml:space="preserve">      Da composição do tribunal do júri e da formação do conselho de sentença</t>
  </si>
  <si>
    <t>15.2.10</t>
  </si>
  <si>
    <t xml:space="preserve">      Da reunião e das sessões do tribunal do júri</t>
  </si>
  <si>
    <t>15.2.11</t>
  </si>
  <si>
    <t xml:space="preserve">      Da instrução em plenário</t>
  </si>
  <si>
    <t>15.2.12</t>
  </si>
  <si>
    <t xml:space="preserve">      Dos debates</t>
  </si>
  <si>
    <t>15.2.13</t>
  </si>
  <si>
    <t xml:space="preserve">      Do questionário e sua votação</t>
  </si>
  <si>
    <t>15.2.14</t>
  </si>
  <si>
    <t xml:space="preserve">      Da sentença</t>
  </si>
  <si>
    <t>15.2.15</t>
  </si>
  <si>
    <t xml:space="preserve">      Da ata dos trabalhos</t>
  </si>
  <si>
    <t>15.2.16</t>
  </si>
  <si>
    <t xml:space="preserve">      Das atribuições do presidente do tribunal do júri</t>
  </si>
  <si>
    <t xml:space="preserve">   Do processo e do julgamento dos crimes da competência do juiz singular</t>
  </si>
  <si>
    <t>Dos processos especiais</t>
  </si>
  <si>
    <t xml:space="preserve">   Do processo e do julgamento dos crimes de responsabilidade dos funcionários públicos</t>
  </si>
  <si>
    <t xml:space="preserve">   Do processo e do julgamento dos crimes de calúnia e injúria, de competência do juiz singular</t>
  </si>
  <si>
    <t>16.3</t>
  </si>
  <si>
    <t xml:space="preserve">   Do processo e do julgamento dos crimes contra a propriedade imaterial</t>
  </si>
  <si>
    <t>16.4</t>
  </si>
  <si>
    <t xml:space="preserve">   Do processo sumário</t>
  </si>
  <si>
    <t>16.5</t>
  </si>
  <si>
    <t xml:space="preserve">   Do processo de restauração de autos extraviados ou destruídos</t>
  </si>
  <si>
    <t>16.6</t>
  </si>
  <si>
    <t xml:space="preserve">   Do processo de aplicação de medida de segurança por fato não criminoso</t>
  </si>
  <si>
    <t>Lei nº 8.038/1990 e suas alterações - Normas procedimentais para os processos perante o Superior alterações (Juizados Especiais Cíveis e Criminais)</t>
  </si>
  <si>
    <t>Prazos</t>
  </si>
  <si>
    <t xml:space="preserve">   Características, princípios e contagem</t>
  </si>
  <si>
    <t>20</t>
  </si>
  <si>
    <t>Nulidades</t>
  </si>
  <si>
    <t>21</t>
  </si>
  <si>
    <t>Recursos em geral</t>
  </si>
  <si>
    <t>Habeas corpus e seu processo</t>
  </si>
  <si>
    <t>Normas processuais da Lei nº 7.210/1984 e suas alterações (Lei de Execução Penal)</t>
  </si>
  <si>
    <t>Relações jurisdicionais com autoridade estrangeira</t>
  </si>
  <si>
    <t>Disposições gerais do Código de Processo Penal</t>
  </si>
  <si>
    <t>LEGISLAÇÃO</t>
  </si>
  <si>
    <t>Código de Normas da Corregedoria Geral da Justiça do Estado do Rio de Janeiro – Parte Judicial</t>
  </si>
  <si>
    <t xml:space="preserve">   Parte Geral</t>
  </si>
  <si>
    <t>1.1.1</t>
  </si>
  <si>
    <t xml:space="preserve">      Da Corregedoria Geral de Justiça</t>
  </si>
  <si>
    <t>1.1.1.1</t>
  </si>
  <si>
    <t xml:space="preserve">         Da estrutura e do funcionamento. 1.1.1.1.1 Dos atos normativos. 1.1.1.1.2 Dos órgãos e funções de assessoramento e execução. 1.1.1.1.3 Da distribuição de feitos: dos Registros de Distribuição; das buscas; das certidões de distribuição de feitos judiciais; dos Livros de Registro de Distribuição; dos fichários e arquivamento; do Serviço de Distribuição; da Distribuição pelo portal; da paralisação do sistema de informática da Distribuição; das anotações no Registro de Distribuição; das medidas cautelares de caráter sigiloso; 1.1.1.1.4 Do recebimento e encaminhamento de petições e documentos: do Protocolo Geral de Varas (PROGER); do recebimento de petições e documentos; do encaminhamento de petições e documentos; do Protocolo Integrado; da utilização do Serviço de Malote. 1.1.1.1.5 Dos meios de comunicação entre serviços judiciários: disposições gerais</t>
  </si>
  <si>
    <t>1.1.1.2</t>
  </si>
  <si>
    <t xml:space="preserve">         Da estatística das Varas. 1.1.1.2.1 Da supervisão e delegação de funções</t>
  </si>
  <si>
    <t>1.1.1.3</t>
  </si>
  <si>
    <t xml:space="preserve">         Da função correicional. 1.1.1.3.1 Das correições, fiscalizações e inspeções: da responsabilidade disciplinar</t>
  </si>
  <si>
    <t>1.1.1.4</t>
  </si>
  <si>
    <t xml:space="preserve">         Dos recursos</t>
  </si>
  <si>
    <t>1.1.1.5</t>
  </si>
  <si>
    <t xml:space="preserve">         Dos magistrados. 1.1.1.5.1 Das disposições gerais. 1.1.1.5.2 Dos processos sigilosos administrativos de reclamações e representações judiciais</t>
  </si>
  <si>
    <t>1.1.1.6</t>
  </si>
  <si>
    <t xml:space="preserve">         Dos deveres. 1.1.1.6.1 Dos deveres dos responsáveis pelo gerenciamento das serventias. 1.1.1.6.2 Do horário de trabalho. 1.1.1.6.3 Da ausência do chefe de serventia e da vacância da função. 1.1.1.6.4 Da utilização do sistema de processamento de dados. 1.1.1.6.5 Da expedição de certidões</t>
  </si>
  <si>
    <t>1.1.1.7</t>
  </si>
  <si>
    <t xml:space="preserve">         Das custas judiciais. 1.1.1.7.1 Disposições gerais. 1.1.1.7.2 Do recolhimento das custas e a certificação pelas Varas</t>
  </si>
  <si>
    <t xml:space="preserve">   Foro Judicial</t>
  </si>
  <si>
    <t>1.2.1</t>
  </si>
  <si>
    <t xml:space="preserve">      Dos Serviços Judiciais</t>
  </si>
  <si>
    <t>1.2.1.1</t>
  </si>
  <si>
    <t xml:space="preserve">         Dos Cartórios. 1.2.1.1.1 Da Administração Interna: do Processamento Integrado e do Chefe de Serventia. Das Petições. 1.2.1.1.2 Das Rotinas de Processamento: das rotinas aplicáveis às unidades judiciais em geral</t>
  </si>
  <si>
    <t>1.2.1.2</t>
  </si>
  <si>
    <t xml:space="preserve">         Dos Juizados Especiais Cíveis e Criminais. 1.2.1.2.1 Disposições gerais. 1.2.1.2.2 Dos Conciliadores. 1.2.1.2.3 Dos Núcleos de Primeiro Atendimento dos Juizados Especiais Cíveis e Núcleos de Distribuição e Citação dos Juizados Especiais Cíveis (NADAC). 1.2.1.2.4 Das rotinas aplicáveis aos Juizados Especiais Cíveis: da intimação por via eletrônica ou de telecomunicação.1.2.1.2.5 Das rotinas aplicáveis aos Juizados Especiais Criminais</t>
  </si>
  <si>
    <t>1.2.1.3</t>
  </si>
  <si>
    <t xml:space="preserve">         Das Centrais de Audiência de Custódia. 1.2.1.3.1 Do cadastramento e processamento das audiências de custódia. 1.2.1.3.2 Dos deveres dos servidores designados para atuarem nas Centrais de Audiência de Custódia. 1.2.1.3.3 Do cadastramento no Sistema de Audiência de Custódia (SISTAC-CNJ)</t>
  </si>
  <si>
    <t>Lei Federal nº 12.153/2009</t>
  </si>
  <si>
    <t>Resumo de cobertura</t>
  </si>
  <si>
    <t>Itens</t>
  </si>
  <si>
    <t>Concluídos</t>
  </si>
  <si>
    <t>% Cobertura</t>
  </si>
  <si>
    <t>TOTAL</t>
  </si>
  <si>
    <t>Como usar esta planilha</t>
  </si>
  <si>
    <t>1. Aba 'Verticalizado': cada linha é um item do edital, na ordem original.</t>
  </si>
  <si>
    <t>2. 'Status': marque seu progresso (A estudar → Estudado → Revisão 1/2/3).</t>
  </si>
  <si>
    <t xml:space="preserve">   As cores e a aba 'Resumo' (% de cobertura) atualizam sozinhas.</t>
  </si>
  <si>
    <t>3. 'Incidência': começa como 'Sem dado' DE PROPÓSITO.</t>
  </si>
  <si>
    <t xml:space="preserve">   A IA não chuta o que mais cai. Para preencher de verdade, junte os assuntos</t>
  </si>
  <si>
    <t xml:space="preserve">   das últimas provas da SUA banca e classifique cada item em Alta/Média/Baixa.</t>
  </si>
  <si>
    <t>4. 'Prioridade': ataque primeiro o que é Incidência Alta e ainda não estudou.</t>
  </si>
  <si>
    <t>5. 'Anotações': links, dúvidas, mnemônicos.</t>
  </si>
  <si>
    <t>Princípio: a IA organiza, você decide. Ela não estuda no seu lugar — libera seu tempo.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</si>
</sst>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0.5"/>
      <color rgb="FFDBE7FF"/>
      <name val="Calibri"/>
      <family val="2"/>
    </font>
    <font>
      <b/>
      <sz val="11"/>
      <color rgb="FFFFFFFF"/>
      <name val="Calibri"/>
      <family val="2"/>
    </font>
    <font>
      <b/>
      <sz val="10"/>
      <color rgb="FF1E293B"/>
      <name val="Calibri"/>
      <family val="2"/>
    </font>
    <font>
      <b/>
      <sz val="11"/>
      <color rgb="FF1E293B"/>
      <name val="Calibri"/>
      <family val="2"/>
    </font>
    <font>
      <sz val="9"/>
      <color rgb="FF64748B"/>
      <name val="Calibri"/>
      <family val="2"/>
    </font>
    <font>
      <sz val="11"/>
      <color rgb="FF334155"/>
      <name val="Calibri"/>
      <family val="2"/>
    </font>
    <font>
      <b/>
      <sz val="15"/>
      <color rgb="FF1E293B"/>
      <name val="Calibri"/>
      <family val="2"/>
    </font>
    <font>
      <i/>
      <sz val="11"/>
      <color rgb="FF64748B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33415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D4ED8"/>
      </patternFill>
    </fill>
    <fill>
      <patternFill patternType="solid">
        <fgColor rgb="FFF5F8FD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  <border>
      <left style="thin">
        <color rgb="FFDCE3EC"/>
      </left>
      <right style="thin">
        <color rgb="FFDCE3EC"/>
      </right>
      <top style="medium">
        <color rgb="FF60A5FA"/>
      </top>
      <bottom style="thin">
        <color rgb="FFDCE3EC"/>
      </bottom>
      <diagonal/>
    </border>
    <border>
      <left/>
      <right/>
      <top/>
      <bottom style="thin">
        <color rgb="FFDCE3E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0" xfId="0" applyFill="1"/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0" xfId="0" applyFill="1"/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/>
    </xf>
    <xf numFmtId="0" fontId="0" fillId="0" borderId="3" xfId="0" applyBorder="1"/>
    <xf numFmtId="9" fontId="0" fillId="0" borderId="3" xfId="0" applyNumberFormat="1" applyBorder="1"/>
    <xf numFmtId="0" fontId="11" fillId="0" borderId="0" xfId="0" applyFont="1"/>
    <xf numFmtId="9" fontId="11" fillId="0" borderId="0" xfId="0" applyNumberFormat="1" applyFont="1"/>
    <xf numFmtId="0" fontId="12" fillId="0" borderId="0" xfId="0" applyFont="1"/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2" fillId="3" borderId="0" xfId="0" applyFont="1" applyFill="1" applyAlignment="1">
      <alignment vertical="center" indent="1"/>
    </xf>
    <xf numFmtId="0" fontId="0" fillId="3" borderId="0" xfId="0" applyFill="1"/>
  </cellXfs>
  <cellStyles count="1">
    <cellStyle name="Normal" xfId="0" builtinId="0"/>
  </cellStyles>
  <dxfs count="7">
    <dxf>
      <fill>
        <patternFill patternType="solid">
          <fgColor rgb="FFE7EDF5"/>
        </patternFill>
      </fill>
    </dxf>
    <dxf>
      <fill>
        <patternFill patternType="solid">
          <fgColor rgb="FFFDE7B5"/>
        </patternFill>
      </fill>
    </dxf>
    <dxf>
      <fill>
        <patternFill patternType="solid">
          <fgColor rgb="FFF9C9C9"/>
        </patternFill>
      </fill>
    </dxf>
    <dxf>
      <fill>
        <patternFill patternType="solid">
          <fgColor rgb="FFFBE0E0"/>
        </patternFill>
      </fill>
    </dxf>
    <dxf>
      <fill>
        <patternFill patternType="solid">
          <fgColor rgb="FFFFF1C2"/>
        </patternFill>
      </fill>
    </dxf>
    <dxf>
      <fill>
        <patternFill patternType="solid">
          <fgColor rgb="FFDCE9FB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% de cobertura por disciplina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Resumo!$D$4</c:f>
              <c:strCache>
                <c:ptCount val="1"/>
                <c:pt idx="0">
                  <c:v>% Cobertura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Resumo!$A$5:$A$15</c:f>
              <c:strCache>
                <c:ptCount val="11"/>
                <c:pt idx="0">
                  <c:v>LÍNGUA PORTUGUESA</c:v>
                </c:pt>
                <c:pt idx="1">
                  <c:v>LEGISLAÇÃO ESPECIAL</c:v>
                </c:pt>
                <c:pt idx="2">
                  <c:v>NOÇÕES DOS DIREITOS DAS PESSOAS COM DEFICIÊNCIA</c:v>
                </c:pt>
                <c:pt idx="3">
                  <c:v>ÉTICA NO SERVIÇO PÚBLICO</c:v>
                </c:pt>
                <c:pt idx="4">
                  <c:v>DIREITO ADMINISTRATIVO</c:v>
                </c:pt>
                <c:pt idx="5">
                  <c:v>DIREITO CONSTITUCIONAL</c:v>
                </c:pt>
                <c:pt idx="6">
                  <c:v>DIREITO CIVIL</c:v>
                </c:pt>
                <c:pt idx="7">
                  <c:v>DIREITO PROCESSUAL CIVIL</c:v>
                </c:pt>
                <c:pt idx="8">
                  <c:v>DIREITO PENAL</c:v>
                </c:pt>
                <c:pt idx="9">
                  <c:v>DIREITO PROCESSUAL PENAL</c:v>
                </c:pt>
                <c:pt idx="10">
                  <c:v>LEGISLAÇÃO</c:v>
                </c:pt>
              </c:strCache>
            </c:strRef>
          </c:cat>
          <c:val>
            <c:numRef>
              <c:f>Resumo!$D$5:$D$15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1-344E-A62B-F79F9F59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8737600" cy="4089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I359"/>
  <sheetViews>
    <sheetView showGridLines="0" tabSelected="1" zoomScale="110" workbookViewId="0">
      <pane ySplit="3" topLeftCell="A27" activePane="bottomLeft" state="frozen"/>
      <selection pane="bottomLeft" activeCell="D31" sqref="D31"/>
    </sheetView>
  </sheetViews>
  <sheetFormatPr baseColWidth="10" defaultColWidth="8.83203125" defaultRowHeight="15" x14ac:dyDescent="0.2"/>
  <cols>
    <col min="1" max="1" width="30" customWidth="1"/>
    <col min="2" max="3" width="7" customWidth="1"/>
    <col min="4" max="4" width="74" customWidth="1"/>
    <col min="5" max="5" width="13" customWidth="1"/>
    <col min="6" max="6" width="12" customWidth="1"/>
    <col min="7" max="7" width="11" customWidth="1"/>
    <col min="8" max="8" width="26" customWidth="1"/>
    <col min="9" max="9" width="6" hidden="1" customWidth="1"/>
  </cols>
  <sheetData>
    <row r="1" spans="1:9" ht="34" customHeight="1" x14ac:dyDescent="0.2">
      <c r="B1" s="32" t="s">
        <v>0</v>
      </c>
      <c r="C1" s="33"/>
      <c r="D1" s="33"/>
      <c r="E1" s="33"/>
      <c r="F1" s="33"/>
      <c r="G1" s="33"/>
      <c r="H1" s="33"/>
    </row>
    <row r="2" spans="1:9" ht="20" customHeight="1" x14ac:dyDescent="0.2">
      <c r="B2" s="34" t="s">
        <v>1</v>
      </c>
      <c r="C2" s="35"/>
      <c r="D2" s="35"/>
      <c r="E2" s="35"/>
      <c r="F2" s="35"/>
      <c r="G2" s="35"/>
      <c r="H2" s="35"/>
    </row>
    <row r="3" spans="1:9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t="s">
        <v>10</v>
      </c>
    </row>
    <row r="4" spans="1:9" ht="16" x14ac:dyDescent="0.2">
      <c r="A4" s="2" t="s">
        <v>11</v>
      </c>
      <c r="B4" s="3" t="s">
        <v>12</v>
      </c>
      <c r="C4" s="3">
        <v>1</v>
      </c>
      <c r="D4" s="4" t="s">
        <v>13</v>
      </c>
      <c r="E4" s="3" t="s">
        <v>14</v>
      </c>
      <c r="F4" s="3" t="s">
        <v>15</v>
      </c>
      <c r="G4" s="3"/>
      <c r="H4" s="5"/>
      <c r="I4" s="6">
        <f t="shared" ref="I4:I67" si="0">IF(OR($E4="Estudado",LEFT($E4,7)="Revisão"),1,0)</f>
        <v>0</v>
      </c>
    </row>
    <row r="5" spans="1:9" ht="16" x14ac:dyDescent="0.2">
      <c r="A5" s="7" t="s">
        <v>11</v>
      </c>
      <c r="B5" s="8" t="s">
        <v>16</v>
      </c>
      <c r="C5" s="8">
        <v>1</v>
      </c>
      <c r="D5" s="9" t="s">
        <v>17</v>
      </c>
      <c r="E5" s="8" t="s">
        <v>14</v>
      </c>
      <c r="F5" s="8" t="s">
        <v>15</v>
      </c>
      <c r="G5" s="8"/>
      <c r="H5" s="10"/>
      <c r="I5" s="6">
        <f t="shared" si="0"/>
        <v>0</v>
      </c>
    </row>
    <row r="6" spans="1:9" ht="16" x14ac:dyDescent="0.2">
      <c r="A6" s="7" t="s">
        <v>11</v>
      </c>
      <c r="B6" s="8" t="s">
        <v>18</v>
      </c>
      <c r="C6" s="8">
        <v>1</v>
      </c>
      <c r="D6" s="9" t="s">
        <v>19</v>
      </c>
      <c r="E6" s="8" t="s">
        <v>14</v>
      </c>
      <c r="F6" s="8" t="s">
        <v>15</v>
      </c>
      <c r="G6" s="8"/>
      <c r="H6" s="10"/>
      <c r="I6" s="6">
        <f t="shared" si="0"/>
        <v>0</v>
      </c>
    </row>
    <row r="7" spans="1:9" ht="16" x14ac:dyDescent="0.2">
      <c r="A7" s="11" t="s">
        <v>11</v>
      </c>
      <c r="B7" s="8" t="s">
        <v>20</v>
      </c>
      <c r="C7" s="8">
        <v>2</v>
      </c>
      <c r="D7" s="12" t="s">
        <v>21</v>
      </c>
      <c r="E7" s="8" t="s">
        <v>14</v>
      </c>
      <c r="F7" s="8" t="s">
        <v>15</v>
      </c>
      <c r="G7" s="8"/>
      <c r="H7" s="10"/>
      <c r="I7" s="6">
        <f t="shared" si="0"/>
        <v>0</v>
      </c>
    </row>
    <row r="8" spans="1:9" ht="16" x14ac:dyDescent="0.2">
      <c r="A8" s="11" t="s">
        <v>11</v>
      </c>
      <c r="B8" s="8" t="s">
        <v>22</v>
      </c>
      <c r="C8" s="8">
        <v>2</v>
      </c>
      <c r="D8" s="12" t="s">
        <v>23</v>
      </c>
      <c r="E8" s="8" t="s">
        <v>14</v>
      </c>
      <c r="F8" s="8" t="s">
        <v>15</v>
      </c>
      <c r="G8" s="8"/>
      <c r="H8" s="10"/>
      <c r="I8" s="6">
        <f t="shared" si="0"/>
        <v>0</v>
      </c>
    </row>
    <row r="9" spans="1:9" ht="16" x14ac:dyDescent="0.2">
      <c r="A9" s="7" t="s">
        <v>11</v>
      </c>
      <c r="B9" s="8" t="s">
        <v>24</v>
      </c>
      <c r="C9" s="8">
        <v>1</v>
      </c>
      <c r="D9" s="9" t="s">
        <v>25</v>
      </c>
      <c r="E9" s="8" t="s">
        <v>14</v>
      </c>
      <c r="F9" s="8" t="s">
        <v>15</v>
      </c>
      <c r="G9" s="8"/>
      <c r="H9" s="10"/>
      <c r="I9" s="6">
        <f t="shared" si="0"/>
        <v>0</v>
      </c>
    </row>
    <row r="10" spans="1:9" ht="32" x14ac:dyDescent="0.2">
      <c r="A10" s="11" t="s">
        <v>11</v>
      </c>
      <c r="B10" s="8" t="s">
        <v>26</v>
      </c>
      <c r="C10" s="8">
        <v>2</v>
      </c>
      <c r="D10" s="12" t="s">
        <v>27</v>
      </c>
      <c r="E10" s="8" t="s">
        <v>14</v>
      </c>
      <c r="F10" s="8" t="s">
        <v>15</v>
      </c>
      <c r="G10" s="8"/>
      <c r="H10" s="10"/>
      <c r="I10" s="6">
        <f t="shared" si="0"/>
        <v>0</v>
      </c>
    </row>
    <row r="11" spans="1:9" ht="16" x14ac:dyDescent="0.2">
      <c r="A11" s="11" t="s">
        <v>11</v>
      </c>
      <c r="B11" s="8" t="s">
        <v>28</v>
      </c>
      <c r="C11" s="8">
        <v>2</v>
      </c>
      <c r="D11" s="12" t="s">
        <v>29</v>
      </c>
      <c r="E11" s="8" t="s">
        <v>14</v>
      </c>
      <c r="F11" s="8" t="s">
        <v>15</v>
      </c>
      <c r="G11" s="8"/>
      <c r="H11" s="10"/>
      <c r="I11" s="6">
        <f t="shared" si="0"/>
        <v>0</v>
      </c>
    </row>
    <row r="12" spans="1:9" ht="16" x14ac:dyDescent="0.2">
      <c r="A12" s="7" t="s">
        <v>11</v>
      </c>
      <c r="B12" s="8" t="s">
        <v>30</v>
      </c>
      <c r="C12" s="8">
        <v>1</v>
      </c>
      <c r="D12" s="9" t="s">
        <v>31</v>
      </c>
      <c r="E12" s="8" t="s">
        <v>14</v>
      </c>
      <c r="F12" s="8" t="s">
        <v>15</v>
      </c>
      <c r="G12" s="8"/>
      <c r="H12" s="10"/>
      <c r="I12" s="6">
        <f t="shared" si="0"/>
        <v>0</v>
      </c>
    </row>
    <row r="13" spans="1:9" ht="16" x14ac:dyDescent="0.2">
      <c r="A13" s="11" t="s">
        <v>11</v>
      </c>
      <c r="B13" s="8" t="s">
        <v>32</v>
      </c>
      <c r="C13" s="8">
        <v>2</v>
      </c>
      <c r="D13" s="12" t="s">
        <v>33</v>
      </c>
      <c r="E13" s="8" t="s">
        <v>14</v>
      </c>
      <c r="F13" s="8" t="s">
        <v>15</v>
      </c>
      <c r="G13" s="8"/>
      <c r="H13" s="10"/>
      <c r="I13" s="6">
        <f t="shared" si="0"/>
        <v>0</v>
      </c>
    </row>
    <row r="14" spans="1:9" ht="16" x14ac:dyDescent="0.2">
      <c r="A14" s="11" t="s">
        <v>11</v>
      </c>
      <c r="B14" s="8" t="s">
        <v>34</v>
      </c>
      <c r="C14" s="8">
        <v>2</v>
      </c>
      <c r="D14" s="12" t="s">
        <v>35</v>
      </c>
      <c r="E14" s="8" t="s">
        <v>14</v>
      </c>
      <c r="F14" s="8" t="s">
        <v>15</v>
      </c>
      <c r="G14" s="8"/>
      <c r="H14" s="10"/>
      <c r="I14" s="6">
        <f t="shared" si="0"/>
        <v>0</v>
      </c>
    </row>
    <row r="15" spans="1:9" ht="16" x14ac:dyDescent="0.2">
      <c r="A15" s="11" t="s">
        <v>11</v>
      </c>
      <c r="B15" s="8" t="s">
        <v>36</v>
      </c>
      <c r="C15" s="8">
        <v>2</v>
      </c>
      <c r="D15" s="12" t="s">
        <v>37</v>
      </c>
      <c r="E15" s="8" t="s">
        <v>14</v>
      </c>
      <c r="F15" s="8" t="s">
        <v>15</v>
      </c>
      <c r="G15" s="8"/>
      <c r="H15" s="10"/>
      <c r="I15" s="6">
        <f t="shared" si="0"/>
        <v>0</v>
      </c>
    </row>
    <row r="16" spans="1:9" ht="16" x14ac:dyDescent="0.2">
      <c r="A16" s="11" t="s">
        <v>11</v>
      </c>
      <c r="B16" s="8" t="s">
        <v>38</v>
      </c>
      <c r="C16" s="8">
        <v>2</v>
      </c>
      <c r="D16" s="12" t="s">
        <v>39</v>
      </c>
      <c r="E16" s="8" t="s">
        <v>14</v>
      </c>
      <c r="F16" s="8" t="s">
        <v>15</v>
      </c>
      <c r="G16" s="8"/>
      <c r="H16" s="10"/>
      <c r="I16" s="6">
        <f t="shared" si="0"/>
        <v>0</v>
      </c>
    </row>
    <row r="17" spans="1:9" ht="16" x14ac:dyDescent="0.2">
      <c r="A17" s="11" t="s">
        <v>11</v>
      </c>
      <c r="B17" s="8" t="s">
        <v>40</v>
      </c>
      <c r="C17" s="8">
        <v>2</v>
      </c>
      <c r="D17" s="12" t="s">
        <v>41</v>
      </c>
      <c r="E17" s="8" t="s">
        <v>14</v>
      </c>
      <c r="F17" s="8" t="s">
        <v>15</v>
      </c>
      <c r="G17" s="8"/>
      <c r="H17" s="10"/>
      <c r="I17" s="6">
        <f t="shared" si="0"/>
        <v>0</v>
      </c>
    </row>
    <row r="18" spans="1:9" ht="16" x14ac:dyDescent="0.2">
      <c r="A18" s="11" t="s">
        <v>11</v>
      </c>
      <c r="B18" s="8" t="s">
        <v>42</v>
      </c>
      <c r="C18" s="8">
        <v>2</v>
      </c>
      <c r="D18" s="12" t="s">
        <v>43</v>
      </c>
      <c r="E18" s="8" t="s">
        <v>14</v>
      </c>
      <c r="F18" s="8" t="s">
        <v>15</v>
      </c>
      <c r="G18" s="8"/>
      <c r="H18" s="10"/>
      <c r="I18" s="6">
        <f t="shared" si="0"/>
        <v>0</v>
      </c>
    </row>
    <row r="19" spans="1:9" ht="16" x14ac:dyDescent="0.2">
      <c r="A19" s="7" t="s">
        <v>11</v>
      </c>
      <c r="B19" s="8" t="s">
        <v>44</v>
      </c>
      <c r="C19" s="8">
        <v>1</v>
      </c>
      <c r="D19" s="9" t="s">
        <v>45</v>
      </c>
      <c r="E19" s="8" t="s">
        <v>14</v>
      </c>
      <c r="F19" s="8" t="s">
        <v>15</v>
      </c>
      <c r="G19" s="8"/>
      <c r="H19" s="10"/>
      <c r="I19" s="6">
        <f t="shared" si="0"/>
        <v>0</v>
      </c>
    </row>
    <row r="20" spans="1:9" ht="16" x14ac:dyDescent="0.2">
      <c r="A20" s="11" t="s">
        <v>11</v>
      </c>
      <c r="B20" s="8" t="s">
        <v>46</v>
      </c>
      <c r="C20" s="8">
        <v>2</v>
      </c>
      <c r="D20" s="12" t="s">
        <v>47</v>
      </c>
      <c r="E20" s="8" t="s">
        <v>14</v>
      </c>
      <c r="F20" s="8" t="s">
        <v>15</v>
      </c>
      <c r="G20" s="8"/>
      <c r="H20" s="10"/>
      <c r="I20" s="6">
        <f t="shared" si="0"/>
        <v>0</v>
      </c>
    </row>
    <row r="21" spans="1:9" ht="16" x14ac:dyDescent="0.2">
      <c r="A21" s="11" t="s">
        <v>11</v>
      </c>
      <c r="B21" s="8" t="s">
        <v>48</v>
      </c>
      <c r="C21" s="8">
        <v>2</v>
      </c>
      <c r="D21" s="12" t="s">
        <v>49</v>
      </c>
      <c r="E21" s="8" t="s">
        <v>14</v>
      </c>
      <c r="F21" s="8" t="s">
        <v>15</v>
      </c>
      <c r="G21" s="8"/>
      <c r="H21" s="10"/>
      <c r="I21" s="6">
        <f t="shared" si="0"/>
        <v>0</v>
      </c>
    </row>
    <row r="22" spans="1:9" ht="16" x14ac:dyDescent="0.2">
      <c r="A22" s="13" t="s">
        <v>50</v>
      </c>
      <c r="B22" s="14" t="s">
        <v>12</v>
      </c>
      <c r="C22" s="14">
        <v>1</v>
      </c>
      <c r="D22" s="15" t="s">
        <v>51</v>
      </c>
      <c r="E22" s="14" t="s">
        <v>14</v>
      </c>
      <c r="F22" s="14" t="s">
        <v>15</v>
      </c>
      <c r="G22" s="14"/>
      <c r="H22" s="16"/>
      <c r="I22" s="17">
        <f t="shared" si="0"/>
        <v>0</v>
      </c>
    </row>
    <row r="23" spans="1:9" ht="32" x14ac:dyDescent="0.2">
      <c r="A23" s="18" t="s">
        <v>50</v>
      </c>
      <c r="B23" s="19" t="s">
        <v>16</v>
      </c>
      <c r="C23" s="19">
        <v>1</v>
      </c>
      <c r="D23" s="20" t="s">
        <v>52</v>
      </c>
      <c r="E23" s="19" t="s">
        <v>14</v>
      </c>
      <c r="F23" s="19" t="s">
        <v>15</v>
      </c>
      <c r="G23" s="19"/>
      <c r="H23" s="21"/>
      <c r="I23" s="17">
        <f t="shared" si="0"/>
        <v>0</v>
      </c>
    </row>
    <row r="24" spans="1:9" ht="32" x14ac:dyDescent="0.2">
      <c r="A24" s="18" t="s">
        <v>50</v>
      </c>
      <c r="B24" s="19" t="s">
        <v>18</v>
      </c>
      <c r="C24" s="19">
        <v>1</v>
      </c>
      <c r="D24" s="20" t="s">
        <v>53</v>
      </c>
      <c r="E24" s="19" t="s">
        <v>14</v>
      </c>
      <c r="F24" s="19" t="s">
        <v>15</v>
      </c>
      <c r="G24" s="19"/>
      <c r="H24" s="21"/>
      <c r="I24" s="17">
        <f t="shared" si="0"/>
        <v>0</v>
      </c>
    </row>
    <row r="25" spans="1:9" ht="32" x14ac:dyDescent="0.2">
      <c r="A25" s="18" t="s">
        <v>50</v>
      </c>
      <c r="B25" s="19" t="s">
        <v>24</v>
      </c>
      <c r="C25" s="19">
        <v>1</v>
      </c>
      <c r="D25" s="20" t="s">
        <v>54</v>
      </c>
      <c r="E25" s="19" t="s">
        <v>14</v>
      </c>
      <c r="F25" s="19" t="s">
        <v>15</v>
      </c>
      <c r="G25" s="19"/>
      <c r="H25" s="21"/>
      <c r="I25" s="17">
        <f t="shared" si="0"/>
        <v>0</v>
      </c>
    </row>
    <row r="26" spans="1:9" ht="16" x14ac:dyDescent="0.2">
      <c r="A26" s="18" t="s">
        <v>50</v>
      </c>
      <c r="B26" s="19" t="s">
        <v>30</v>
      </c>
      <c r="C26" s="19">
        <v>1</v>
      </c>
      <c r="D26" s="20" t="s">
        <v>55</v>
      </c>
      <c r="E26" s="19" t="s">
        <v>14</v>
      </c>
      <c r="F26" s="19" t="s">
        <v>15</v>
      </c>
      <c r="G26" s="19"/>
      <c r="H26" s="21"/>
      <c r="I26" s="17">
        <f t="shared" si="0"/>
        <v>0</v>
      </c>
    </row>
    <row r="27" spans="1:9" ht="16" x14ac:dyDescent="0.2">
      <c r="A27" s="22" t="s">
        <v>50</v>
      </c>
      <c r="B27" s="19" t="s">
        <v>32</v>
      </c>
      <c r="C27" s="19">
        <v>2</v>
      </c>
      <c r="D27" s="23" t="s">
        <v>56</v>
      </c>
      <c r="E27" s="19" t="s">
        <v>14</v>
      </c>
      <c r="F27" s="19" t="s">
        <v>15</v>
      </c>
      <c r="G27" s="19"/>
      <c r="H27" s="21"/>
      <c r="I27" s="17">
        <f t="shared" si="0"/>
        <v>0</v>
      </c>
    </row>
    <row r="28" spans="1:9" ht="32" x14ac:dyDescent="0.2">
      <c r="A28" s="22" t="s">
        <v>50</v>
      </c>
      <c r="B28" s="19" t="s">
        <v>57</v>
      </c>
      <c r="C28" s="19">
        <v>3</v>
      </c>
      <c r="D28" s="23" t="s">
        <v>58</v>
      </c>
      <c r="E28" s="19" t="s">
        <v>14</v>
      </c>
      <c r="F28" s="19" t="s">
        <v>15</v>
      </c>
      <c r="G28" s="19"/>
      <c r="H28" s="21"/>
      <c r="I28" s="17">
        <f t="shared" si="0"/>
        <v>0</v>
      </c>
    </row>
    <row r="29" spans="1:9" ht="32" x14ac:dyDescent="0.2">
      <c r="A29" s="22" t="s">
        <v>50</v>
      </c>
      <c r="B29" s="19" t="s">
        <v>59</v>
      </c>
      <c r="C29" s="19">
        <v>3</v>
      </c>
      <c r="D29" s="23" t="s">
        <v>60</v>
      </c>
      <c r="E29" s="19" t="s">
        <v>14</v>
      </c>
      <c r="F29" s="19" t="s">
        <v>15</v>
      </c>
      <c r="G29" s="19"/>
      <c r="H29" s="21"/>
      <c r="I29" s="17">
        <f t="shared" si="0"/>
        <v>0</v>
      </c>
    </row>
    <row r="30" spans="1:9" ht="16" x14ac:dyDescent="0.2">
      <c r="A30" s="22" t="s">
        <v>50</v>
      </c>
      <c r="B30" s="19" t="s">
        <v>61</v>
      </c>
      <c r="C30" s="19">
        <v>3</v>
      </c>
      <c r="D30" s="23" t="s">
        <v>62</v>
      </c>
      <c r="E30" s="19" t="s">
        <v>14</v>
      </c>
      <c r="F30" s="19" t="s">
        <v>15</v>
      </c>
      <c r="G30" s="19"/>
      <c r="H30" s="21"/>
      <c r="I30" s="17">
        <f t="shared" si="0"/>
        <v>0</v>
      </c>
    </row>
    <row r="31" spans="1:9" ht="48" x14ac:dyDescent="0.2">
      <c r="A31" s="22" t="s">
        <v>50</v>
      </c>
      <c r="B31" s="19" t="s">
        <v>63</v>
      </c>
      <c r="C31" s="19">
        <v>3</v>
      </c>
      <c r="D31" s="23" t="s">
        <v>64</v>
      </c>
      <c r="E31" s="19" t="s">
        <v>14</v>
      </c>
      <c r="F31" s="19" t="s">
        <v>15</v>
      </c>
      <c r="G31" s="19"/>
      <c r="H31" s="21"/>
      <c r="I31" s="17">
        <f t="shared" si="0"/>
        <v>0</v>
      </c>
    </row>
    <row r="32" spans="1:9" ht="32" x14ac:dyDescent="0.2">
      <c r="A32" s="22" t="s">
        <v>50</v>
      </c>
      <c r="B32" s="19" t="s">
        <v>65</v>
      </c>
      <c r="C32" s="19">
        <v>3</v>
      </c>
      <c r="D32" s="23" t="s">
        <v>66</v>
      </c>
      <c r="E32" s="19" t="s">
        <v>14</v>
      </c>
      <c r="F32" s="19" t="s">
        <v>15</v>
      </c>
      <c r="G32" s="19"/>
      <c r="H32" s="21"/>
      <c r="I32" s="17">
        <f t="shared" si="0"/>
        <v>0</v>
      </c>
    </row>
    <row r="33" spans="1:9" ht="16" x14ac:dyDescent="0.2">
      <c r="A33" s="18" t="s">
        <v>50</v>
      </c>
      <c r="B33" s="19" t="s">
        <v>44</v>
      </c>
      <c r="C33" s="19">
        <v>1</v>
      </c>
      <c r="D33" s="20" t="s">
        <v>67</v>
      </c>
      <c r="E33" s="19" t="s">
        <v>14</v>
      </c>
      <c r="F33" s="19" t="s">
        <v>15</v>
      </c>
      <c r="G33" s="19"/>
      <c r="H33" s="21"/>
      <c r="I33" s="17">
        <f t="shared" si="0"/>
        <v>0</v>
      </c>
    </row>
    <row r="34" spans="1:9" ht="16" x14ac:dyDescent="0.2">
      <c r="A34" s="22" t="s">
        <v>50</v>
      </c>
      <c r="B34" s="19" t="s">
        <v>46</v>
      </c>
      <c r="C34" s="19">
        <v>2</v>
      </c>
      <c r="D34" s="23" t="s">
        <v>68</v>
      </c>
      <c r="E34" s="19" t="s">
        <v>14</v>
      </c>
      <c r="F34" s="19" t="s">
        <v>15</v>
      </c>
      <c r="G34" s="19"/>
      <c r="H34" s="21"/>
      <c r="I34" s="17">
        <f t="shared" si="0"/>
        <v>0</v>
      </c>
    </row>
    <row r="35" spans="1:9" ht="16" x14ac:dyDescent="0.2">
      <c r="A35" s="22" t="s">
        <v>50</v>
      </c>
      <c r="B35" s="19" t="s">
        <v>69</v>
      </c>
      <c r="C35" s="19">
        <v>3</v>
      </c>
      <c r="D35" s="23" t="s">
        <v>70</v>
      </c>
      <c r="E35" s="19" t="s">
        <v>14</v>
      </c>
      <c r="F35" s="19" t="s">
        <v>15</v>
      </c>
      <c r="G35" s="19"/>
      <c r="H35" s="21"/>
      <c r="I35" s="17">
        <f t="shared" si="0"/>
        <v>0</v>
      </c>
    </row>
    <row r="36" spans="1:9" ht="16" x14ac:dyDescent="0.2">
      <c r="A36" s="22" t="s">
        <v>50</v>
      </c>
      <c r="B36" s="19" t="s">
        <v>71</v>
      </c>
      <c r="C36" s="19">
        <v>3</v>
      </c>
      <c r="D36" s="23" t="s">
        <v>72</v>
      </c>
      <c r="E36" s="19" t="s">
        <v>14</v>
      </c>
      <c r="F36" s="19" t="s">
        <v>15</v>
      </c>
      <c r="G36" s="19"/>
      <c r="H36" s="21"/>
      <c r="I36" s="17">
        <f t="shared" si="0"/>
        <v>0</v>
      </c>
    </row>
    <row r="37" spans="1:9" ht="96" x14ac:dyDescent="0.2">
      <c r="A37" s="18" t="s">
        <v>50</v>
      </c>
      <c r="B37" s="19" t="s">
        <v>73</v>
      </c>
      <c r="C37" s="19">
        <v>1</v>
      </c>
      <c r="D37" s="20" t="s">
        <v>74</v>
      </c>
      <c r="E37" s="19" t="s">
        <v>14</v>
      </c>
      <c r="F37" s="19" t="s">
        <v>15</v>
      </c>
      <c r="G37" s="19"/>
      <c r="H37" s="21"/>
      <c r="I37" s="17">
        <f t="shared" si="0"/>
        <v>0</v>
      </c>
    </row>
    <row r="38" spans="1:9" ht="32" x14ac:dyDescent="0.2">
      <c r="A38" s="2" t="s">
        <v>75</v>
      </c>
      <c r="B38" s="3" t="s">
        <v>12</v>
      </c>
      <c r="C38" s="3">
        <v>1</v>
      </c>
      <c r="D38" s="4" t="s">
        <v>76</v>
      </c>
      <c r="E38" s="3" t="s">
        <v>14</v>
      </c>
      <c r="F38" s="3" t="s">
        <v>15</v>
      </c>
      <c r="G38" s="3"/>
      <c r="H38" s="5"/>
      <c r="I38" s="6">
        <f t="shared" si="0"/>
        <v>0</v>
      </c>
    </row>
    <row r="39" spans="1:9" ht="32" x14ac:dyDescent="0.2">
      <c r="A39" s="7" t="s">
        <v>75</v>
      </c>
      <c r="B39" s="8" t="s">
        <v>16</v>
      </c>
      <c r="C39" s="8">
        <v>1</v>
      </c>
      <c r="D39" s="9" t="s">
        <v>77</v>
      </c>
      <c r="E39" s="8" t="s">
        <v>14</v>
      </c>
      <c r="F39" s="8" t="s">
        <v>15</v>
      </c>
      <c r="G39" s="8"/>
      <c r="H39" s="10"/>
      <c r="I39" s="6">
        <f t="shared" si="0"/>
        <v>0</v>
      </c>
    </row>
    <row r="40" spans="1:9" ht="64" x14ac:dyDescent="0.2">
      <c r="A40" s="7" t="s">
        <v>75</v>
      </c>
      <c r="B40" s="8" t="s">
        <v>18</v>
      </c>
      <c r="C40" s="8">
        <v>1</v>
      </c>
      <c r="D40" s="9" t="s">
        <v>78</v>
      </c>
      <c r="E40" s="8" t="s">
        <v>14</v>
      </c>
      <c r="F40" s="8" t="s">
        <v>15</v>
      </c>
      <c r="G40" s="8"/>
      <c r="H40" s="10"/>
      <c r="I40" s="6">
        <f t="shared" si="0"/>
        <v>0</v>
      </c>
    </row>
    <row r="41" spans="1:9" ht="16" x14ac:dyDescent="0.2">
      <c r="A41" s="13" t="s">
        <v>79</v>
      </c>
      <c r="B41" s="14" t="s">
        <v>12</v>
      </c>
      <c r="C41" s="14">
        <v>1</v>
      </c>
      <c r="D41" s="15" t="s">
        <v>80</v>
      </c>
      <c r="E41" s="14" t="s">
        <v>14</v>
      </c>
      <c r="F41" s="14" t="s">
        <v>15</v>
      </c>
      <c r="G41" s="14"/>
      <c r="H41" s="16"/>
      <c r="I41" s="17">
        <f t="shared" si="0"/>
        <v>0</v>
      </c>
    </row>
    <row r="42" spans="1:9" ht="16" x14ac:dyDescent="0.2">
      <c r="A42" s="18" t="s">
        <v>79</v>
      </c>
      <c r="B42" s="19" t="s">
        <v>16</v>
      </c>
      <c r="C42" s="19">
        <v>1</v>
      </c>
      <c r="D42" s="20" t="s">
        <v>81</v>
      </c>
      <c r="E42" s="19" t="s">
        <v>14</v>
      </c>
      <c r="F42" s="19" t="s">
        <v>15</v>
      </c>
      <c r="G42" s="19"/>
      <c r="H42" s="21"/>
      <c r="I42" s="17">
        <f t="shared" si="0"/>
        <v>0</v>
      </c>
    </row>
    <row r="43" spans="1:9" ht="16" x14ac:dyDescent="0.2">
      <c r="A43" s="18" t="s">
        <v>79</v>
      </c>
      <c r="B43" s="19" t="s">
        <v>18</v>
      </c>
      <c r="C43" s="19">
        <v>1</v>
      </c>
      <c r="D43" s="20" t="s">
        <v>82</v>
      </c>
      <c r="E43" s="19" t="s">
        <v>14</v>
      </c>
      <c r="F43" s="19" t="s">
        <v>15</v>
      </c>
      <c r="G43" s="19"/>
      <c r="H43" s="21"/>
      <c r="I43" s="17">
        <f t="shared" si="0"/>
        <v>0</v>
      </c>
    </row>
    <row r="44" spans="1:9" ht="16" x14ac:dyDescent="0.2">
      <c r="A44" s="18" t="s">
        <v>79</v>
      </c>
      <c r="B44" s="19" t="s">
        <v>24</v>
      </c>
      <c r="C44" s="19">
        <v>1</v>
      </c>
      <c r="D44" s="20" t="s">
        <v>83</v>
      </c>
      <c r="E44" s="19" t="s">
        <v>14</v>
      </c>
      <c r="F44" s="19" t="s">
        <v>15</v>
      </c>
      <c r="G44" s="19"/>
      <c r="H44" s="21"/>
      <c r="I44" s="17">
        <f t="shared" si="0"/>
        <v>0</v>
      </c>
    </row>
    <row r="45" spans="1:9" ht="16" x14ac:dyDescent="0.2">
      <c r="A45" s="18" t="s">
        <v>79</v>
      </c>
      <c r="B45" s="19" t="s">
        <v>30</v>
      </c>
      <c r="C45" s="19">
        <v>1</v>
      </c>
      <c r="D45" s="20" t="s">
        <v>84</v>
      </c>
      <c r="E45" s="19" t="s">
        <v>14</v>
      </c>
      <c r="F45" s="19" t="s">
        <v>15</v>
      </c>
      <c r="G45" s="19"/>
      <c r="H45" s="21"/>
      <c r="I45" s="17">
        <f t="shared" si="0"/>
        <v>0</v>
      </c>
    </row>
    <row r="46" spans="1:9" ht="16" x14ac:dyDescent="0.2">
      <c r="A46" s="18" t="s">
        <v>79</v>
      </c>
      <c r="B46" s="19" t="s">
        <v>44</v>
      </c>
      <c r="C46" s="19">
        <v>1</v>
      </c>
      <c r="D46" s="20" t="s">
        <v>85</v>
      </c>
      <c r="E46" s="19" t="s">
        <v>14</v>
      </c>
      <c r="F46" s="19" t="s">
        <v>15</v>
      </c>
      <c r="G46" s="19"/>
      <c r="H46" s="21"/>
      <c r="I46" s="17">
        <f t="shared" si="0"/>
        <v>0</v>
      </c>
    </row>
    <row r="47" spans="1:9" ht="16" x14ac:dyDescent="0.2">
      <c r="A47" s="22" t="s">
        <v>79</v>
      </c>
      <c r="B47" s="19" t="s">
        <v>46</v>
      </c>
      <c r="C47" s="19">
        <v>2</v>
      </c>
      <c r="D47" s="23" t="s">
        <v>86</v>
      </c>
      <c r="E47" s="19" t="s">
        <v>14</v>
      </c>
      <c r="F47" s="19" t="s">
        <v>15</v>
      </c>
      <c r="G47" s="19"/>
      <c r="H47" s="21"/>
      <c r="I47" s="17">
        <f t="shared" si="0"/>
        <v>0</v>
      </c>
    </row>
    <row r="48" spans="1:9" ht="16" x14ac:dyDescent="0.2">
      <c r="A48" s="22" t="s">
        <v>79</v>
      </c>
      <c r="B48" s="19" t="s">
        <v>48</v>
      </c>
      <c r="C48" s="19">
        <v>2</v>
      </c>
      <c r="D48" s="23" t="s">
        <v>87</v>
      </c>
      <c r="E48" s="19" t="s">
        <v>14</v>
      </c>
      <c r="F48" s="19" t="s">
        <v>15</v>
      </c>
      <c r="G48" s="19"/>
      <c r="H48" s="21"/>
      <c r="I48" s="17">
        <f t="shared" si="0"/>
        <v>0</v>
      </c>
    </row>
    <row r="49" spans="1:9" ht="16" x14ac:dyDescent="0.2">
      <c r="A49" s="18" t="s">
        <v>79</v>
      </c>
      <c r="B49" s="19" t="s">
        <v>73</v>
      </c>
      <c r="C49" s="19">
        <v>1</v>
      </c>
      <c r="D49" s="20" t="s">
        <v>88</v>
      </c>
      <c r="E49" s="19" t="s">
        <v>14</v>
      </c>
      <c r="F49" s="19" t="s">
        <v>15</v>
      </c>
      <c r="G49" s="19"/>
      <c r="H49" s="21"/>
      <c r="I49" s="17">
        <f t="shared" si="0"/>
        <v>0</v>
      </c>
    </row>
    <row r="50" spans="1:9" ht="32" x14ac:dyDescent="0.2">
      <c r="A50" s="18" t="s">
        <v>79</v>
      </c>
      <c r="B50" s="19" t="s">
        <v>89</v>
      </c>
      <c r="C50" s="19">
        <v>1</v>
      </c>
      <c r="D50" s="20" t="s">
        <v>90</v>
      </c>
      <c r="E50" s="19" t="s">
        <v>14</v>
      </c>
      <c r="F50" s="19" t="s">
        <v>15</v>
      </c>
      <c r="G50" s="19"/>
      <c r="H50" s="21"/>
      <c r="I50" s="17">
        <f t="shared" si="0"/>
        <v>0</v>
      </c>
    </row>
    <row r="51" spans="1:9" ht="16" x14ac:dyDescent="0.2">
      <c r="A51" s="2" t="s">
        <v>91</v>
      </c>
      <c r="B51" s="3" t="s">
        <v>12</v>
      </c>
      <c r="C51" s="3">
        <v>1</v>
      </c>
      <c r="D51" s="4" t="s">
        <v>92</v>
      </c>
      <c r="E51" s="3" t="s">
        <v>14</v>
      </c>
      <c r="F51" s="3" t="s">
        <v>15</v>
      </c>
      <c r="G51" s="3"/>
      <c r="H51" s="5"/>
      <c r="I51" s="6">
        <f t="shared" si="0"/>
        <v>0</v>
      </c>
    </row>
    <row r="52" spans="1:9" ht="16" x14ac:dyDescent="0.2">
      <c r="A52" s="11" t="s">
        <v>91</v>
      </c>
      <c r="B52" s="8" t="s">
        <v>93</v>
      </c>
      <c r="C52" s="8">
        <v>2</v>
      </c>
      <c r="D52" s="12" t="s">
        <v>94</v>
      </c>
      <c r="E52" s="8" t="s">
        <v>14</v>
      </c>
      <c r="F52" s="8" t="s">
        <v>15</v>
      </c>
      <c r="G52" s="8"/>
      <c r="H52" s="10"/>
      <c r="I52" s="6">
        <f t="shared" si="0"/>
        <v>0</v>
      </c>
    </row>
    <row r="53" spans="1:9" ht="16" x14ac:dyDescent="0.2">
      <c r="A53" s="7" t="s">
        <v>91</v>
      </c>
      <c r="B53" s="8" t="s">
        <v>16</v>
      </c>
      <c r="C53" s="8">
        <v>1</v>
      </c>
      <c r="D53" s="9" t="s">
        <v>95</v>
      </c>
      <c r="E53" s="8" t="s">
        <v>14</v>
      </c>
      <c r="F53" s="8" t="s">
        <v>15</v>
      </c>
      <c r="G53" s="8"/>
      <c r="H53" s="10"/>
      <c r="I53" s="6">
        <f t="shared" si="0"/>
        <v>0</v>
      </c>
    </row>
    <row r="54" spans="1:9" ht="16" x14ac:dyDescent="0.2">
      <c r="A54" s="11" t="s">
        <v>91</v>
      </c>
      <c r="B54" s="8" t="s">
        <v>96</v>
      </c>
      <c r="C54" s="8">
        <v>2</v>
      </c>
      <c r="D54" s="12" t="s">
        <v>97</v>
      </c>
      <c r="E54" s="8" t="s">
        <v>14</v>
      </c>
      <c r="F54" s="8" t="s">
        <v>15</v>
      </c>
      <c r="G54" s="8"/>
      <c r="H54" s="10"/>
      <c r="I54" s="6">
        <f t="shared" si="0"/>
        <v>0</v>
      </c>
    </row>
    <row r="55" spans="1:9" ht="16" x14ac:dyDescent="0.2">
      <c r="A55" s="11" t="s">
        <v>91</v>
      </c>
      <c r="B55" s="8" t="s">
        <v>98</v>
      </c>
      <c r="C55" s="8">
        <v>2</v>
      </c>
      <c r="D55" s="12" t="s">
        <v>99</v>
      </c>
      <c r="E55" s="8" t="s">
        <v>14</v>
      </c>
      <c r="F55" s="8" t="s">
        <v>15</v>
      </c>
      <c r="G55" s="8"/>
      <c r="H55" s="10"/>
      <c r="I55" s="6">
        <f t="shared" si="0"/>
        <v>0</v>
      </c>
    </row>
    <row r="56" spans="1:9" ht="16" x14ac:dyDescent="0.2">
      <c r="A56" s="11" t="s">
        <v>91</v>
      </c>
      <c r="B56" s="8" t="s">
        <v>100</v>
      </c>
      <c r="C56" s="8">
        <v>2</v>
      </c>
      <c r="D56" s="12" t="s">
        <v>101</v>
      </c>
      <c r="E56" s="8" t="s">
        <v>14</v>
      </c>
      <c r="F56" s="8" t="s">
        <v>15</v>
      </c>
      <c r="G56" s="8"/>
      <c r="H56" s="10"/>
      <c r="I56" s="6">
        <f t="shared" si="0"/>
        <v>0</v>
      </c>
    </row>
    <row r="57" spans="1:9" ht="16" x14ac:dyDescent="0.2">
      <c r="A57" s="7" t="s">
        <v>91</v>
      </c>
      <c r="B57" s="8" t="s">
        <v>18</v>
      </c>
      <c r="C57" s="8">
        <v>1</v>
      </c>
      <c r="D57" s="9" t="s">
        <v>102</v>
      </c>
      <c r="E57" s="8" t="s">
        <v>14</v>
      </c>
      <c r="F57" s="8" t="s">
        <v>15</v>
      </c>
      <c r="G57" s="8"/>
      <c r="H57" s="10"/>
      <c r="I57" s="6">
        <f t="shared" si="0"/>
        <v>0</v>
      </c>
    </row>
    <row r="58" spans="1:9" ht="16" x14ac:dyDescent="0.2">
      <c r="A58" s="11" t="s">
        <v>91</v>
      </c>
      <c r="B58" s="8" t="s">
        <v>20</v>
      </c>
      <c r="C58" s="8">
        <v>2</v>
      </c>
      <c r="D58" s="12" t="s">
        <v>103</v>
      </c>
      <c r="E58" s="8" t="s">
        <v>14</v>
      </c>
      <c r="F58" s="8" t="s">
        <v>15</v>
      </c>
      <c r="G58" s="8"/>
      <c r="H58" s="10"/>
      <c r="I58" s="6">
        <f t="shared" si="0"/>
        <v>0</v>
      </c>
    </row>
    <row r="59" spans="1:9" ht="16" x14ac:dyDescent="0.2">
      <c r="A59" s="11" t="s">
        <v>91</v>
      </c>
      <c r="B59" s="8" t="s">
        <v>22</v>
      </c>
      <c r="C59" s="8">
        <v>2</v>
      </c>
      <c r="D59" s="12" t="s">
        <v>104</v>
      </c>
      <c r="E59" s="8" t="s">
        <v>14</v>
      </c>
      <c r="F59" s="8" t="s">
        <v>15</v>
      </c>
      <c r="G59" s="8"/>
      <c r="H59" s="10"/>
      <c r="I59" s="6">
        <f t="shared" si="0"/>
        <v>0</v>
      </c>
    </row>
    <row r="60" spans="1:9" ht="16" x14ac:dyDescent="0.2">
      <c r="A60" s="11" t="s">
        <v>91</v>
      </c>
      <c r="B60" s="8" t="s">
        <v>105</v>
      </c>
      <c r="C60" s="8">
        <v>3</v>
      </c>
      <c r="D60" s="12" t="s">
        <v>106</v>
      </c>
      <c r="E60" s="8" t="s">
        <v>14</v>
      </c>
      <c r="F60" s="8" t="s">
        <v>15</v>
      </c>
      <c r="G60" s="8"/>
      <c r="H60" s="10"/>
      <c r="I60" s="6">
        <f t="shared" si="0"/>
        <v>0</v>
      </c>
    </row>
    <row r="61" spans="1:9" ht="16" x14ac:dyDescent="0.2">
      <c r="A61" s="11" t="s">
        <v>91</v>
      </c>
      <c r="B61" s="8" t="s">
        <v>107</v>
      </c>
      <c r="C61" s="8">
        <v>2</v>
      </c>
      <c r="D61" s="12" t="s">
        <v>108</v>
      </c>
      <c r="E61" s="8" t="s">
        <v>14</v>
      </c>
      <c r="F61" s="8" t="s">
        <v>15</v>
      </c>
      <c r="G61" s="8"/>
      <c r="H61" s="10"/>
      <c r="I61" s="6">
        <f t="shared" si="0"/>
        <v>0</v>
      </c>
    </row>
    <row r="62" spans="1:9" ht="16" x14ac:dyDescent="0.2">
      <c r="A62" s="7" t="s">
        <v>91</v>
      </c>
      <c r="B62" s="8" t="s">
        <v>24</v>
      </c>
      <c r="C62" s="8">
        <v>1</v>
      </c>
      <c r="D62" s="9" t="s">
        <v>109</v>
      </c>
      <c r="E62" s="8" t="s">
        <v>14</v>
      </c>
      <c r="F62" s="8" t="s">
        <v>15</v>
      </c>
      <c r="G62" s="8"/>
      <c r="H62" s="10"/>
      <c r="I62" s="6">
        <f t="shared" si="0"/>
        <v>0</v>
      </c>
    </row>
    <row r="63" spans="1:9" ht="16" x14ac:dyDescent="0.2">
      <c r="A63" s="11" t="s">
        <v>91</v>
      </c>
      <c r="B63" s="8" t="s">
        <v>26</v>
      </c>
      <c r="C63" s="8">
        <v>2</v>
      </c>
      <c r="D63" s="12" t="s">
        <v>97</v>
      </c>
      <c r="E63" s="8" t="s">
        <v>14</v>
      </c>
      <c r="F63" s="8" t="s">
        <v>15</v>
      </c>
      <c r="G63" s="8"/>
      <c r="H63" s="10"/>
      <c r="I63" s="6">
        <f t="shared" si="0"/>
        <v>0</v>
      </c>
    </row>
    <row r="64" spans="1:9" ht="16" x14ac:dyDescent="0.2">
      <c r="A64" s="11" t="s">
        <v>91</v>
      </c>
      <c r="B64" s="8" t="s">
        <v>28</v>
      </c>
      <c r="C64" s="8">
        <v>2</v>
      </c>
      <c r="D64" s="12" t="s">
        <v>110</v>
      </c>
      <c r="E64" s="8" t="s">
        <v>14</v>
      </c>
      <c r="F64" s="8" t="s">
        <v>15</v>
      </c>
      <c r="G64" s="8"/>
      <c r="H64" s="10"/>
      <c r="I64" s="6">
        <f t="shared" si="0"/>
        <v>0</v>
      </c>
    </row>
    <row r="65" spans="1:9" ht="16" x14ac:dyDescent="0.2">
      <c r="A65" s="11" t="s">
        <v>91</v>
      </c>
      <c r="B65" s="8" t="s">
        <v>111</v>
      </c>
      <c r="C65" s="8">
        <v>2</v>
      </c>
      <c r="D65" s="12" t="s">
        <v>112</v>
      </c>
      <c r="E65" s="8" t="s">
        <v>14</v>
      </c>
      <c r="F65" s="8" t="s">
        <v>15</v>
      </c>
      <c r="G65" s="8"/>
      <c r="H65" s="10"/>
      <c r="I65" s="6">
        <f t="shared" si="0"/>
        <v>0</v>
      </c>
    </row>
    <row r="66" spans="1:9" ht="16" x14ac:dyDescent="0.2">
      <c r="A66" s="11" t="s">
        <v>91</v>
      </c>
      <c r="B66" s="8" t="s">
        <v>113</v>
      </c>
      <c r="C66" s="8">
        <v>3</v>
      </c>
      <c r="D66" s="12" t="s">
        <v>114</v>
      </c>
      <c r="E66" s="8" t="s">
        <v>14</v>
      </c>
      <c r="F66" s="8" t="s">
        <v>15</v>
      </c>
      <c r="G66" s="8"/>
      <c r="H66" s="10"/>
      <c r="I66" s="6">
        <f t="shared" si="0"/>
        <v>0</v>
      </c>
    </row>
    <row r="67" spans="1:9" ht="16" x14ac:dyDescent="0.2">
      <c r="A67" s="11" t="s">
        <v>91</v>
      </c>
      <c r="B67" s="8" t="s">
        <v>115</v>
      </c>
      <c r="C67" s="8">
        <v>3</v>
      </c>
      <c r="D67" s="12" t="s">
        <v>116</v>
      </c>
      <c r="E67" s="8" t="s">
        <v>14</v>
      </c>
      <c r="F67" s="8" t="s">
        <v>15</v>
      </c>
      <c r="G67" s="8"/>
      <c r="H67" s="10"/>
      <c r="I67" s="6">
        <f t="shared" si="0"/>
        <v>0</v>
      </c>
    </row>
    <row r="68" spans="1:9" ht="16" x14ac:dyDescent="0.2">
      <c r="A68" s="11" t="s">
        <v>91</v>
      </c>
      <c r="B68" s="8" t="s">
        <v>117</v>
      </c>
      <c r="C68" s="8">
        <v>3</v>
      </c>
      <c r="D68" s="12" t="s">
        <v>118</v>
      </c>
      <c r="E68" s="8" t="s">
        <v>14</v>
      </c>
      <c r="F68" s="8" t="s">
        <v>15</v>
      </c>
      <c r="G68" s="8"/>
      <c r="H68" s="10"/>
      <c r="I68" s="6">
        <f t="shared" ref="I68:I131" si="1">IF(OR($E68="Estudado",LEFT($E68,7)="Revisão"),1,0)</f>
        <v>0</v>
      </c>
    </row>
    <row r="69" spans="1:9" ht="16" x14ac:dyDescent="0.2">
      <c r="A69" s="11" t="s">
        <v>91</v>
      </c>
      <c r="B69" s="8" t="s">
        <v>119</v>
      </c>
      <c r="C69" s="8">
        <v>2</v>
      </c>
      <c r="D69" s="12" t="s">
        <v>120</v>
      </c>
      <c r="E69" s="8" t="s">
        <v>14</v>
      </c>
      <c r="F69" s="8" t="s">
        <v>15</v>
      </c>
      <c r="G69" s="8"/>
      <c r="H69" s="10"/>
      <c r="I69" s="6">
        <f t="shared" si="1"/>
        <v>0</v>
      </c>
    </row>
    <row r="70" spans="1:9" ht="16" x14ac:dyDescent="0.2">
      <c r="A70" s="11" t="s">
        <v>91</v>
      </c>
      <c r="B70" s="8" t="s">
        <v>121</v>
      </c>
      <c r="C70" s="8">
        <v>2</v>
      </c>
      <c r="D70" s="12" t="s">
        <v>122</v>
      </c>
      <c r="E70" s="8" t="s">
        <v>14</v>
      </c>
      <c r="F70" s="8" t="s">
        <v>15</v>
      </c>
      <c r="G70" s="8"/>
      <c r="H70" s="10"/>
      <c r="I70" s="6">
        <f t="shared" si="1"/>
        <v>0</v>
      </c>
    </row>
    <row r="71" spans="1:9" ht="16" x14ac:dyDescent="0.2">
      <c r="A71" s="11" t="s">
        <v>91</v>
      </c>
      <c r="B71" s="8" t="s">
        <v>123</v>
      </c>
      <c r="C71" s="8">
        <v>2</v>
      </c>
      <c r="D71" s="12" t="s">
        <v>124</v>
      </c>
      <c r="E71" s="8" t="s">
        <v>14</v>
      </c>
      <c r="F71" s="8" t="s">
        <v>15</v>
      </c>
      <c r="G71" s="8"/>
      <c r="H71" s="10"/>
      <c r="I71" s="6">
        <f t="shared" si="1"/>
        <v>0</v>
      </c>
    </row>
    <row r="72" spans="1:9" ht="16" x14ac:dyDescent="0.2">
      <c r="A72" s="11" t="s">
        <v>91</v>
      </c>
      <c r="B72" s="8" t="s">
        <v>125</v>
      </c>
      <c r="C72" s="8">
        <v>2</v>
      </c>
      <c r="D72" s="12" t="s">
        <v>126</v>
      </c>
      <c r="E72" s="8" t="s">
        <v>14</v>
      </c>
      <c r="F72" s="8" t="s">
        <v>15</v>
      </c>
      <c r="G72" s="8"/>
      <c r="H72" s="10"/>
      <c r="I72" s="6">
        <f t="shared" si="1"/>
        <v>0</v>
      </c>
    </row>
    <row r="73" spans="1:9" ht="16" x14ac:dyDescent="0.2">
      <c r="A73" s="11" t="s">
        <v>91</v>
      </c>
      <c r="B73" s="8" t="s">
        <v>127</v>
      </c>
      <c r="C73" s="8">
        <v>2</v>
      </c>
      <c r="D73" s="12" t="s">
        <v>128</v>
      </c>
      <c r="E73" s="8" t="s">
        <v>14</v>
      </c>
      <c r="F73" s="8" t="s">
        <v>15</v>
      </c>
      <c r="G73" s="8"/>
      <c r="H73" s="10"/>
      <c r="I73" s="6">
        <f t="shared" si="1"/>
        <v>0</v>
      </c>
    </row>
    <row r="74" spans="1:9" ht="16" x14ac:dyDescent="0.2">
      <c r="A74" s="7" t="s">
        <v>91</v>
      </c>
      <c r="B74" s="8" t="s">
        <v>30</v>
      </c>
      <c r="C74" s="8">
        <v>1</v>
      </c>
      <c r="D74" s="9" t="s">
        <v>129</v>
      </c>
      <c r="E74" s="8" t="s">
        <v>14</v>
      </c>
      <c r="F74" s="8" t="s">
        <v>15</v>
      </c>
      <c r="G74" s="8"/>
      <c r="H74" s="10"/>
      <c r="I74" s="6">
        <f t="shared" si="1"/>
        <v>0</v>
      </c>
    </row>
    <row r="75" spans="1:9" ht="16" x14ac:dyDescent="0.2">
      <c r="A75" s="11" t="s">
        <v>91</v>
      </c>
      <c r="B75" s="8" t="s">
        <v>32</v>
      </c>
      <c r="C75" s="8">
        <v>2</v>
      </c>
      <c r="D75" s="12" t="s">
        <v>130</v>
      </c>
      <c r="E75" s="8" t="s">
        <v>14</v>
      </c>
      <c r="F75" s="8" t="s">
        <v>15</v>
      </c>
      <c r="G75" s="8"/>
      <c r="H75" s="10"/>
      <c r="I75" s="6">
        <f t="shared" si="1"/>
        <v>0</v>
      </c>
    </row>
    <row r="76" spans="1:9" ht="16" x14ac:dyDescent="0.2">
      <c r="A76" s="11" t="s">
        <v>91</v>
      </c>
      <c r="B76" s="8" t="s">
        <v>34</v>
      </c>
      <c r="C76" s="8">
        <v>2</v>
      </c>
      <c r="D76" s="12" t="s">
        <v>131</v>
      </c>
      <c r="E76" s="8" t="s">
        <v>14</v>
      </c>
      <c r="F76" s="8" t="s">
        <v>15</v>
      </c>
      <c r="G76" s="8"/>
      <c r="H76" s="10"/>
      <c r="I76" s="6">
        <f t="shared" si="1"/>
        <v>0</v>
      </c>
    </row>
    <row r="77" spans="1:9" ht="16" x14ac:dyDescent="0.2">
      <c r="A77" s="7" t="s">
        <v>91</v>
      </c>
      <c r="B77" s="8" t="s">
        <v>44</v>
      </c>
      <c r="C77" s="8">
        <v>1</v>
      </c>
      <c r="D77" s="9" t="s">
        <v>132</v>
      </c>
      <c r="E77" s="8" t="s">
        <v>14</v>
      </c>
      <c r="F77" s="8" t="s">
        <v>15</v>
      </c>
      <c r="G77" s="8"/>
      <c r="H77" s="10"/>
      <c r="I77" s="6">
        <f t="shared" si="1"/>
        <v>0</v>
      </c>
    </row>
    <row r="78" spans="1:9" ht="16" x14ac:dyDescent="0.2">
      <c r="A78" s="11" t="s">
        <v>91</v>
      </c>
      <c r="B78" s="8" t="s">
        <v>46</v>
      </c>
      <c r="C78" s="8">
        <v>2</v>
      </c>
      <c r="D78" s="12" t="s">
        <v>97</v>
      </c>
      <c r="E78" s="8" t="s">
        <v>14</v>
      </c>
      <c r="F78" s="8" t="s">
        <v>15</v>
      </c>
      <c r="G78" s="8"/>
      <c r="H78" s="10"/>
      <c r="I78" s="6">
        <f t="shared" si="1"/>
        <v>0</v>
      </c>
    </row>
    <row r="79" spans="1:9" ht="16" x14ac:dyDescent="0.2">
      <c r="A79" s="11" t="s">
        <v>91</v>
      </c>
      <c r="B79" s="8" t="s">
        <v>48</v>
      </c>
      <c r="C79" s="8">
        <v>2</v>
      </c>
      <c r="D79" s="12" t="s">
        <v>133</v>
      </c>
      <c r="E79" s="8" t="s">
        <v>14</v>
      </c>
      <c r="F79" s="8" t="s">
        <v>15</v>
      </c>
      <c r="G79" s="8"/>
      <c r="H79" s="10"/>
      <c r="I79" s="6">
        <f t="shared" si="1"/>
        <v>0</v>
      </c>
    </row>
    <row r="80" spans="1:9" ht="16" x14ac:dyDescent="0.2">
      <c r="A80" s="7" t="s">
        <v>91</v>
      </c>
      <c r="B80" s="8" t="s">
        <v>73</v>
      </c>
      <c r="C80" s="8">
        <v>1</v>
      </c>
      <c r="D80" s="9" t="s">
        <v>134</v>
      </c>
      <c r="E80" s="8" t="s">
        <v>14</v>
      </c>
      <c r="F80" s="8" t="s">
        <v>15</v>
      </c>
      <c r="G80" s="8"/>
      <c r="H80" s="10"/>
      <c r="I80" s="6">
        <f t="shared" si="1"/>
        <v>0</v>
      </c>
    </row>
    <row r="81" spans="1:9" ht="16" x14ac:dyDescent="0.2">
      <c r="A81" s="11" t="s">
        <v>91</v>
      </c>
      <c r="B81" s="8" t="s">
        <v>135</v>
      </c>
      <c r="C81" s="8">
        <v>2</v>
      </c>
      <c r="D81" s="12" t="s">
        <v>136</v>
      </c>
      <c r="E81" s="8" t="s">
        <v>14</v>
      </c>
      <c r="F81" s="8" t="s">
        <v>15</v>
      </c>
      <c r="G81" s="8"/>
      <c r="H81" s="10"/>
      <c r="I81" s="6">
        <f t="shared" si="1"/>
        <v>0</v>
      </c>
    </row>
    <row r="82" spans="1:9" ht="16" x14ac:dyDescent="0.2">
      <c r="A82" s="11" t="s">
        <v>91</v>
      </c>
      <c r="B82" s="8" t="s">
        <v>137</v>
      </c>
      <c r="C82" s="8">
        <v>2</v>
      </c>
      <c r="D82" s="12" t="s">
        <v>138</v>
      </c>
      <c r="E82" s="8" t="s">
        <v>14</v>
      </c>
      <c r="F82" s="8" t="s">
        <v>15</v>
      </c>
      <c r="G82" s="8"/>
      <c r="H82" s="10"/>
      <c r="I82" s="6">
        <f t="shared" si="1"/>
        <v>0</v>
      </c>
    </row>
    <row r="83" spans="1:9" ht="16" x14ac:dyDescent="0.2">
      <c r="A83" s="11" t="s">
        <v>91</v>
      </c>
      <c r="B83" s="8" t="s">
        <v>139</v>
      </c>
      <c r="C83" s="8">
        <v>2</v>
      </c>
      <c r="D83" s="12" t="s">
        <v>140</v>
      </c>
      <c r="E83" s="8" t="s">
        <v>14</v>
      </c>
      <c r="F83" s="8" t="s">
        <v>15</v>
      </c>
      <c r="G83" s="8"/>
      <c r="H83" s="10"/>
      <c r="I83" s="6">
        <f t="shared" si="1"/>
        <v>0</v>
      </c>
    </row>
    <row r="84" spans="1:9" ht="16" x14ac:dyDescent="0.2">
      <c r="A84" s="11" t="s">
        <v>91</v>
      </c>
      <c r="B84" s="8" t="s">
        <v>141</v>
      </c>
      <c r="C84" s="8">
        <v>2</v>
      </c>
      <c r="D84" s="12" t="s">
        <v>142</v>
      </c>
      <c r="E84" s="8" t="s">
        <v>14</v>
      </c>
      <c r="F84" s="8" t="s">
        <v>15</v>
      </c>
      <c r="G84" s="8"/>
      <c r="H84" s="10"/>
      <c r="I84" s="6">
        <f t="shared" si="1"/>
        <v>0</v>
      </c>
    </row>
    <row r="85" spans="1:9" ht="16" x14ac:dyDescent="0.2">
      <c r="A85" s="11" t="s">
        <v>91</v>
      </c>
      <c r="B85" s="8" t="s">
        <v>143</v>
      </c>
      <c r="C85" s="8">
        <v>2</v>
      </c>
      <c r="D85" s="12" t="s">
        <v>144</v>
      </c>
      <c r="E85" s="8" t="s">
        <v>14</v>
      </c>
      <c r="F85" s="8" t="s">
        <v>15</v>
      </c>
      <c r="G85" s="8"/>
      <c r="H85" s="10"/>
      <c r="I85" s="6">
        <f t="shared" si="1"/>
        <v>0</v>
      </c>
    </row>
    <row r="86" spans="1:9" ht="16" x14ac:dyDescent="0.2">
      <c r="A86" s="11" t="s">
        <v>91</v>
      </c>
      <c r="B86" s="8" t="s">
        <v>145</v>
      </c>
      <c r="C86" s="8">
        <v>2</v>
      </c>
      <c r="D86" s="12" t="s">
        <v>146</v>
      </c>
      <c r="E86" s="8" t="s">
        <v>14</v>
      </c>
      <c r="F86" s="8" t="s">
        <v>15</v>
      </c>
      <c r="G86" s="8"/>
      <c r="H86" s="10"/>
      <c r="I86" s="6">
        <f t="shared" si="1"/>
        <v>0</v>
      </c>
    </row>
    <row r="87" spans="1:9" ht="16" x14ac:dyDescent="0.2">
      <c r="A87" s="7" t="s">
        <v>91</v>
      </c>
      <c r="B87" s="8" t="s">
        <v>89</v>
      </c>
      <c r="C87" s="8">
        <v>1</v>
      </c>
      <c r="D87" s="9" t="s">
        <v>147</v>
      </c>
      <c r="E87" s="8" t="s">
        <v>14</v>
      </c>
      <c r="F87" s="8" t="s">
        <v>15</v>
      </c>
      <c r="G87" s="8"/>
      <c r="H87" s="10"/>
      <c r="I87" s="6">
        <f t="shared" si="1"/>
        <v>0</v>
      </c>
    </row>
    <row r="88" spans="1:9" ht="16" x14ac:dyDescent="0.2">
      <c r="A88" s="11" t="s">
        <v>91</v>
      </c>
      <c r="B88" s="8" t="s">
        <v>148</v>
      </c>
      <c r="C88" s="8">
        <v>2</v>
      </c>
      <c r="D88" s="12" t="s">
        <v>97</v>
      </c>
      <c r="E88" s="8" t="s">
        <v>14</v>
      </c>
      <c r="F88" s="8" t="s">
        <v>15</v>
      </c>
      <c r="G88" s="8"/>
      <c r="H88" s="10"/>
      <c r="I88" s="6">
        <f t="shared" si="1"/>
        <v>0</v>
      </c>
    </row>
    <row r="89" spans="1:9" ht="16" x14ac:dyDescent="0.2">
      <c r="A89" s="11" t="s">
        <v>91</v>
      </c>
      <c r="B89" s="8" t="s">
        <v>149</v>
      </c>
      <c r="C89" s="8">
        <v>2</v>
      </c>
      <c r="D89" s="12" t="s">
        <v>150</v>
      </c>
      <c r="E89" s="8" t="s">
        <v>14</v>
      </c>
      <c r="F89" s="8" t="s">
        <v>15</v>
      </c>
      <c r="G89" s="8"/>
      <c r="H89" s="10"/>
      <c r="I89" s="6">
        <f t="shared" si="1"/>
        <v>0</v>
      </c>
    </row>
    <row r="90" spans="1:9" ht="16" x14ac:dyDescent="0.2">
      <c r="A90" s="11" t="s">
        <v>91</v>
      </c>
      <c r="B90" s="8" t="s">
        <v>151</v>
      </c>
      <c r="C90" s="8">
        <v>2</v>
      </c>
      <c r="D90" s="12" t="s">
        <v>152</v>
      </c>
      <c r="E90" s="8" t="s">
        <v>14</v>
      </c>
      <c r="F90" s="8" t="s">
        <v>15</v>
      </c>
      <c r="G90" s="8"/>
      <c r="H90" s="10"/>
      <c r="I90" s="6">
        <f t="shared" si="1"/>
        <v>0</v>
      </c>
    </row>
    <row r="91" spans="1:9" ht="16" x14ac:dyDescent="0.2">
      <c r="A91" s="11" t="s">
        <v>91</v>
      </c>
      <c r="B91" s="8" t="s">
        <v>153</v>
      </c>
      <c r="C91" s="8">
        <v>2</v>
      </c>
      <c r="D91" s="12" t="s">
        <v>154</v>
      </c>
      <c r="E91" s="8" t="s">
        <v>14</v>
      </c>
      <c r="F91" s="8" t="s">
        <v>15</v>
      </c>
      <c r="G91" s="8"/>
      <c r="H91" s="10"/>
      <c r="I91" s="6">
        <f t="shared" si="1"/>
        <v>0</v>
      </c>
    </row>
    <row r="92" spans="1:9" ht="16" x14ac:dyDescent="0.2">
      <c r="A92" s="11" t="s">
        <v>91</v>
      </c>
      <c r="B92" s="8" t="s">
        <v>155</v>
      </c>
      <c r="C92" s="8">
        <v>3</v>
      </c>
      <c r="D92" s="12" t="s">
        <v>156</v>
      </c>
      <c r="E92" s="8" t="s">
        <v>14</v>
      </c>
      <c r="F92" s="8" t="s">
        <v>15</v>
      </c>
      <c r="G92" s="8"/>
      <c r="H92" s="10"/>
      <c r="I92" s="6">
        <f t="shared" si="1"/>
        <v>0</v>
      </c>
    </row>
    <row r="93" spans="1:9" ht="16" x14ac:dyDescent="0.2">
      <c r="A93" s="11" t="s">
        <v>91</v>
      </c>
      <c r="B93" s="8" t="s">
        <v>157</v>
      </c>
      <c r="C93" s="8">
        <v>2</v>
      </c>
      <c r="D93" s="12" t="s">
        <v>158</v>
      </c>
      <c r="E93" s="8" t="s">
        <v>14</v>
      </c>
      <c r="F93" s="8" t="s">
        <v>15</v>
      </c>
      <c r="G93" s="8"/>
      <c r="H93" s="10"/>
      <c r="I93" s="6">
        <f t="shared" si="1"/>
        <v>0</v>
      </c>
    </row>
    <row r="94" spans="1:9" ht="16" x14ac:dyDescent="0.2">
      <c r="A94" s="11" t="s">
        <v>91</v>
      </c>
      <c r="B94" s="8" t="s">
        <v>159</v>
      </c>
      <c r="C94" s="8">
        <v>2</v>
      </c>
      <c r="D94" s="12" t="s">
        <v>160</v>
      </c>
      <c r="E94" s="8" t="s">
        <v>14</v>
      </c>
      <c r="F94" s="8" t="s">
        <v>15</v>
      </c>
      <c r="G94" s="8"/>
      <c r="H94" s="10"/>
      <c r="I94" s="6">
        <f t="shared" si="1"/>
        <v>0</v>
      </c>
    </row>
    <row r="95" spans="1:9" ht="16" x14ac:dyDescent="0.2">
      <c r="A95" s="7" t="s">
        <v>91</v>
      </c>
      <c r="B95" s="8" t="s">
        <v>161</v>
      </c>
      <c r="C95" s="8">
        <v>1</v>
      </c>
      <c r="D95" s="9" t="s">
        <v>162</v>
      </c>
      <c r="E95" s="8" t="s">
        <v>14</v>
      </c>
      <c r="F95" s="8" t="s">
        <v>15</v>
      </c>
      <c r="G95" s="8"/>
      <c r="H95" s="10"/>
      <c r="I95" s="6">
        <f t="shared" si="1"/>
        <v>0</v>
      </c>
    </row>
    <row r="96" spans="1:9" ht="16" x14ac:dyDescent="0.2">
      <c r="A96" s="11" t="s">
        <v>91</v>
      </c>
      <c r="B96" s="8" t="s">
        <v>163</v>
      </c>
      <c r="C96" s="8">
        <v>2</v>
      </c>
      <c r="D96" s="12" t="s">
        <v>164</v>
      </c>
      <c r="E96" s="8" t="s">
        <v>14</v>
      </c>
      <c r="F96" s="8" t="s">
        <v>15</v>
      </c>
      <c r="G96" s="8"/>
      <c r="H96" s="10"/>
      <c r="I96" s="6">
        <f t="shared" si="1"/>
        <v>0</v>
      </c>
    </row>
    <row r="97" spans="1:9" ht="16" x14ac:dyDescent="0.2">
      <c r="A97" s="11" t="s">
        <v>91</v>
      </c>
      <c r="B97" s="8" t="s">
        <v>165</v>
      </c>
      <c r="C97" s="8">
        <v>2</v>
      </c>
      <c r="D97" s="12" t="s">
        <v>166</v>
      </c>
      <c r="E97" s="8" t="s">
        <v>14</v>
      </c>
      <c r="F97" s="8" t="s">
        <v>15</v>
      </c>
      <c r="G97" s="8"/>
      <c r="H97" s="10"/>
      <c r="I97" s="6">
        <f t="shared" si="1"/>
        <v>0</v>
      </c>
    </row>
    <row r="98" spans="1:9" ht="32" x14ac:dyDescent="0.2">
      <c r="A98" s="11" t="s">
        <v>91</v>
      </c>
      <c r="B98" s="8" t="s">
        <v>167</v>
      </c>
      <c r="C98" s="8">
        <v>3</v>
      </c>
      <c r="D98" s="12" t="s">
        <v>168</v>
      </c>
      <c r="E98" s="8" t="s">
        <v>14</v>
      </c>
      <c r="F98" s="8" t="s">
        <v>15</v>
      </c>
      <c r="G98" s="8"/>
      <c r="H98" s="10"/>
      <c r="I98" s="6">
        <f t="shared" si="1"/>
        <v>0</v>
      </c>
    </row>
    <row r="99" spans="1:9" ht="16" x14ac:dyDescent="0.2">
      <c r="A99" s="7" t="s">
        <v>91</v>
      </c>
      <c r="B99" s="8" t="s">
        <v>169</v>
      </c>
      <c r="C99" s="8">
        <v>1</v>
      </c>
      <c r="D99" s="9" t="s">
        <v>170</v>
      </c>
      <c r="E99" s="8" t="s">
        <v>14</v>
      </c>
      <c r="F99" s="8" t="s">
        <v>15</v>
      </c>
      <c r="G99" s="8"/>
      <c r="H99" s="10"/>
      <c r="I99" s="6">
        <f t="shared" si="1"/>
        <v>0</v>
      </c>
    </row>
    <row r="100" spans="1:9" ht="16" x14ac:dyDescent="0.2">
      <c r="A100" s="11" t="s">
        <v>91</v>
      </c>
      <c r="B100" s="8" t="s">
        <v>171</v>
      </c>
      <c r="C100" s="8">
        <v>2</v>
      </c>
      <c r="D100" s="12" t="s">
        <v>172</v>
      </c>
      <c r="E100" s="8" t="s">
        <v>14</v>
      </c>
      <c r="F100" s="8" t="s">
        <v>15</v>
      </c>
      <c r="G100" s="8"/>
      <c r="H100" s="10"/>
      <c r="I100" s="6">
        <f t="shared" si="1"/>
        <v>0</v>
      </c>
    </row>
    <row r="101" spans="1:9" ht="16" x14ac:dyDescent="0.2">
      <c r="A101" s="11" t="s">
        <v>91</v>
      </c>
      <c r="B101" s="8" t="s">
        <v>173</v>
      </c>
      <c r="C101" s="8">
        <v>2</v>
      </c>
      <c r="D101" s="12" t="s">
        <v>174</v>
      </c>
      <c r="E101" s="8" t="s">
        <v>14</v>
      </c>
      <c r="F101" s="8" t="s">
        <v>15</v>
      </c>
      <c r="G101" s="8"/>
      <c r="H101" s="10"/>
      <c r="I101" s="6">
        <f t="shared" si="1"/>
        <v>0</v>
      </c>
    </row>
    <row r="102" spans="1:9" ht="16" x14ac:dyDescent="0.2">
      <c r="A102" s="11" t="s">
        <v>91</v>
      </c>
      <c r="B102" s="8" t="s">
        <v>175</v>
      </c>
      <c r="C102" s="8">
        <v>2</v>
      </c>
      <c r="D102" s="12" t="s">
        <v>176</v>
      </c>
      <c r="E102" s="8" t="s">
        <v>14</v>
      </c>
      <c r="F102" s="8" t="s">
        <v>15</v>
      </c>
      <c r="G102" s="8"/>
      <c r="H102" s="10"/>
      <c r="I102" s="6">
        <f t="shared" si="1"/>
        <v>0</v>
      </c>
    </row>
    <row r="103" spans="1:9" ht="16" x14ac:dyDescent="0.2">
      <c r="A103" s="11" t="s">
        <v>91</v>
      </c>
      <c r="B103" s="8" t="s">
        <v>177</v>
      </c>
      <c r="C103" s="8">
        <v>2</v>
      </c>
      <c r="D103" s="12" t="s">
        <v>178</v>
      </c>
      <c r="E103" s="8" t="s">
        <v>14</v>
      </c>
      <c r="F103" s="8" t="s">
        <v>15</v>
      </c>
      <c r="G103" s="8"/>
      <c r="H103" s="10"/>
      <c r="I103" s="6">
        <f t="shared" si="1"/>
        <v>0</v>
      </c>
    </row>
    <row r="104" spans="1:9" ht="16" x14ac:dyDescent="0.2">
      <c r="A104" s="7" t="s">
        <v>91</v>
      </c>
      <c r="B104" s="8" t="s">
        <v>179</v>
      </c>
      <c r="C104" s="8">
        <v>1</v>
      </c>
      <c r="D104" s="9" t="s">
        <v>180</v>
      </c>
      <c r="E104" s="8" t="s">
        <v>14</v>
      </c>
      <c r="F104" s="8" t="s">
        <v>15</v>
      </c>
      <c r="G104" s="8"/>
      <c r="H104" s="10"/>
      <c r="I104" s="6">
        <f t="shared" si="1"/>
        <v>0</v>
      </c>
    </row>
    <row r="105" spans="1:9" ht="16" x14ac:dyDescent="0.2">
      <c r="A105" s="7" t="s">
        <v>91</v>
      </c>
      <c r="B105" s="8" t="s">
        <v>181</v>
      </c>
      <c r="C105" s="8">
        <v>1</v>
      </c>
      <c r="D105" s="9" t="s">
        <v>182</v>
      </c>
      <c r="E105" s="8" t="s">
        <v>14</v>
      </c>
      <c r="F105" s="8" t="s">
        <v>15</v>
      </c>
      <c r="G105" s="8"/>
      <c r="H105" s="10"/>
      <c r="I105" s="6">
        <f t="shared" si="1"/>
        <v>0</v>
      </c>
    </row>
    <row r="106" spans="1:9" ht="16" x14ac:dyDescent="0.2">
      <c r="A106" s="11" t="s">
        <v>91</v>
      </c>
      <c r="B106" s="8" t="s">
        <v>183</v>
      </c>
      <c r="C106" s="8">
        <v>2</v>
      </c>
      <c r="D106" s="12" t="s">
        <v>184</v>
      </c>
      <c r="E106" s="8" t="s">
        <v>14</v>
      </c>
      <c r="F106" s="8" t="s">
        <v>15</v>
      </c>
      <c r="G106" s="8"/>
      <c r="H106" s="10"/>
      <c r="I106" s="6">
        <f t="shared" si="1"/>
        <v>0</v>
      </c>
    </row>
    <row r="107" spans="1:9" ht="16" x14ac:dyDescent="0.2">
      <c r="A107" s="13" t="s">
        <v>185</v>
      </c>
      <c r="B107" s="14" t="s">
        <v>12</v>
      </c>
      <c r="C107" s="14">
        <v>1</v>
      </c>
      <c r="D107" s="15" t="s">
        <v>186</v>
      </c>
      <c r="E107" s="14" t="s">
        <v>14</v>
      </c>
      <c r="F107" s="14" t="s">
        <v>15</v>
      </c>
      <c r="G107" s="14"/>
      <c r="H107" s="16"/>
      <c r="I107" s="17">
        <f t="shared" si="1"/>
        <v>0</v>
      </c>
    </row>
    <row r="108" spans="1:9" ht="16" x14ac:dyDescent="0.2">
      <c r="A108" s="22" t="s">
        <v>185</v>
      </c>
      <c r="B108" s="19" t="s">
        <v>93</v>
      </c>
      <c r="C108" s="19">
        <v>2</v>
      </c>
      <c r="D108" s="23" t="s">
        <v>187</v>
      </c>
      <c r="E108" s="19" t="s">
        <v>14</v>
      </c>
      <c r="F108" s="19" t="s">
        <v>15</v>
      </c>
      <c r="G108" s="19"/>
      <c r="H108" s="21"/>
      <c r="I108" s="17">
        <f t="shared" si="1"/>
        <v>0</v>
      </c>
    </row>
    <row r="109" spans="1:9" ht="16" x14ac:dyDescent="0.2">
      <c r="A109" s="22" t="s">
        <v>185</v>
      </c>
      <c r="B109" s="19" t="s">
        <v>188</v>
      </c>
      <c r="C109" s="19">
        <v>2</v>
      </c>
      <c r="D109" s="23" t="s">
        <v>189</v>
      </c>
      <c r="E109" s="19" t="s">
        <v>14</v>
      </c>
      <c r="F109" s="19" t="s">
        <v>15</v>
      </c>
      <c r="G109" s="19"/>
      <c r="H109" s="21"/>
      <c r="I109" s="17">
        <f t="shared" si="1"/>
        <v>0</v>
      </c>
    </row>
    <row r="110" spans="1:9" ht="16" x14ac:dyDescent="0.2">
      <c r="A110" s="18" t="s">
        <v>185</v>
      </c>
      <c r="B110" s="19" t="s">
        <v>16</v>
      </c>
      <c r="C110" s="19">
        <v>1</v>
      </c>
      <c r="D110" s="20" t="s">
        <v>190</v>
      </c>
      <c r="E110" s="19" t="s">
        <v>14</v>
      </c>
      <c r="F110" s="19" t="s">
        <v>15</v>
      </c>
      <c r="G110" s="19"/>
      <c r="H110" s="21"/>
      <c r="I110" s="17">
        <f t="shared" si="1"/>
        <v>0</v>
      </c>
    </row>
    <row r="111" spans="1:9" ht="16" x14ac:dyDescent="0.2">
      <c r="A111" s="22" t="s">
        <v>185</v>
      </c>
      <c r="B111" s="19" t="s">
        <v>96</v>
      </c>
      <c r="C111" s="19">
        <v>2</v>
      </c>
      <c r="D111" s="23" t="s">
        <v>191</v>
      </c>
      <c r="E111" s="19" t="s">
        <v>14</v>
      </c>
      <c r="F111" s="19" t="s">
        <v>15</v>
      </c>
      <c r="G111" s="19"/>
      <c r="H111" s="21"/>
      <c r="I111" s="17">
        <f t="shared" si="1"/>
        <v>0</v>
      </c>
    </row>
    <row r="112" spans="1:9" ht="16" x14ac:dyDescent="0.2">
      <c r="A112" s="22" t="s">
        <v>185</v>
      </c>
      <c r="B112" s="19" t="s">
        <v>98</v>
      </c>
      <c r="C112" s="19">
        <v>2</v>
      </c>
      <c r="D112" s="23" t="s">
        <v>192</v>
      </c>
      <c r="E112" s="19" t="s">
        <v>14</v>
      </c>
      <c r="F112" s="19" t="s">
        <v>15</v>
      </c>
      <c r="G112" s="19"/>
      <c r="H112" s="21"/>
      <c r="I112" s="17">
        <f t="shared" si="1"/>
        <v>0</v>
      </c>
    </row>
    <row r="113" spans="1:9" ht="16" x14ac:dyDescent="0.2">
      <c r="A113" s="22" t="s">
        <v>185</v>
      </c>
      <c r="B113" s="19" t="s">
        <v>193</v>
      </c>
      <c r="C113" s="19">
        <v>3</v>
      </c>
      <c r="D113" s="23" t="s">
        <v>194</v>
      </c>
      <c r="E113" s="19" t="s">
        <v>14</v>
      </c>
      <c r="F113" s="19" t="s">
        <v>15</v>
      </c>
      <c r="G113" s="19"/>
      <c r="H113" s="21"/>
      <c r="I113" s="17">
        <f t="shared" si="1"/>
        <v>0</v>
      </c>
    </row>
    <row r="114" spans="1:9" ht="16" x14ac:dyDescent="0.2">
      <c r="A114" s="22" t="s">
        <v>185</v>
      </c>
      <c r="B114" s="19" t="s">
        <v>195</v>
      </c>
      <c r="C114" s="19">
        <v>3</v>
      </c>
      <c r="D114" s="23" t="s">
        <v>196</v>
      </c>
      <c r="E114" s="19" t="s">
        <v>14</v>
      </c>
      <c r="F114" s="19" t="s">
        <v>15</v>
      </c>
      <c r="G114" s="19"/>
      <c r="H114" s="21"/>
      <c r="I114" s="17">
        <f t="shared" si="1"/>
        <v>0</v>
      </c>
    </row>
    <row r="115" spans="1:9" ht="16" x14ac:dyDescent="0.2">
      <c r="A115" s="22" t="s">
        <v>185</v>
      </c>
      <c r="B115" s="19" t="s">
        <v>197</v>
      </c>
      <c r="C115" s="19">
        <v>3</v>
      </c>
      <c r="D115" s="23" t="s">
        <v>198</v>
      </c>
      <c r="E115" s="19" t="s">
        <v>14</v>
      </c>
      <c r="F115" s="19" t="s">
        <v>15</v>
      </c>
      <c r="G115" s="19"/>
      <c r="H115" s="21"/>
      <c r="I115" s="17">
        <f t="shared" si="1"/>
        <v>0</v>
      </c>
    </row>
    <row r="116" spans="1:9" ht="16" x14ac:dyDescent="0.2">
      <c r="A116" s="22" t="s">
        <v>185</v>
      </c>
      <c r="B116" s="19" t="s">
        <v>199</v>
      </c>
      <c r="C116" s="19">
        <v>3</v>
      </c>
      <c r="D116" s="23" t="s">
        <v>200</v>
      </c>
      <c r="E116" s="19" t="s">
        <v>14</v>
      </c>
      <c r="F116" s="19" t="s">
        <v>15</v>
      </c>
      <c r="G116" s="19"/>
      <c r="H116" s="21"/>
      <c r="I116" s="17">
        <f t="shared" si="1"/>
        <v>0</v>
      </c>
    </row>
    <row r="117" spans="1:9" ht="16" x14ac:dyDescent="0.2">
      <c r="A117" s="22" t="s">
        <v>185</v>
      </c>
      <c r="B117" s="19" t="s">
        <v>201</v>
      </c>
      <c r="C117" s="19">
        <v>3</v>
      </c>
      <c r="D117" s="23" t="s">
        <v>202</v>
      </c>
      <c r="E117" s="19" t="s">
        <v>14</v>
      </c>
      <c r="F117" s="19" t="s">
        <v>15</v>
      </c>
      <c r="G117" s="19"/>
      <c r="H117" s="21"/>
      <c r="I117" s="17">
        <f t="shared" si="1"/>
        <v>0</v>
      </c>
    </row>
    <row r="118" spans="1:9" ht="16" x14ac:dyDescent="0.2">
      <c r="A118" s="22" t="s">
        <v>185</v>
      </c>
      <c r="B118" s="19" t="s">
        <v>100</v>
      </c>
      <c r="C118" s="19">
        <v>2</v>
      </c>
      <c r="D118" s="23" t="s">
        <v>203</v>
      </c>
      <c r="E118" s="19" t="s">
        <v>14</v>
      </c>
      <c r="F118" s="19" t="s">
        <v>15</v>
      </c>
      <c r="G118" s="19"/>
      <c r="H118" s="21"/>
      <c r="I118" s="17">
        <f t="shared" si="1"/>
        <v>0</v>
      </c>
    </row>
    <row r="119" spans="1:9" ht="16" x14ac:dyDescent="0.2">
      <c r="A119" s="22" t="s">
        <v>185</v>
      </c>
      <c r="B119" s="19" t="s">
        <v>204</v>
      </c>
      <c r="C119" s="19">
        <v>3</v>
      </c>
      <c r="D119" s="23" t="s">
        <v>205</v>
      </c>
      <c r="E119" s="19" t="s">
        <v>14</v>
      </c>
      <c r="F119" s="19" t="s">
        <v>15</v>
      </c>
      <c r="G119" s="19"/>
      <c r="H119" s="21"/>
      <c r="I119" s="17">
        <f t="shared" si="1"/>
        <v>0</v>
      </c>
    </row>
    <row r="120" spans="1:9" ht="16" x14ac:dyDescent="0.2">
      <c r="A120" s="22" t="s">
        <v>185</v>
      </c>
      <c r="B120" s="19" t="s">
        <v>206</v>
      </c>
      <c r="C120" s="19">
        <v>2</v>
      </c>
      <c r="D120" s="23" t="s">
        <v>207</v>
      </c>
      <c r="E120" s="19" t="s">
        <v>14</v>
      </c>
      <c r="F120" s="19" t="s">
        <v>15</v>
      </c>
      <c r="G120" s="19"/>
      <c r="H120" s="21"/>
      <c r="I120" s="17">
        <f t="shared" si="1"/>
        <v>0</v>
      </c>
    </row>
    <row r="121" spans="1:9" ht="16" x14ac:dyDescent="0.2">
      <c r="A121" s="22" t="s">
        <v>185</v>
      </c>
      <c r="B121" s="19" t="s">
        <v>208</v>
      </c>
      <c r="C121" s="19">
        <v>3</v>
      </c>
      <c r="D121" s="23" t="s">
        <v>209</v>
      </c>
      <c r="E121" s="19" t="s">
        <v>14</v>
      </c>
      <c r="F121" s="19" t="s">
        <v>15</v>
      </c>
      <c r="G121" s="19"/>
      <c r="H121" s="21"/>
      <c r="I121" s="17">
        <f t="shared" si="1"/>
        <v>0</v>
      </c>
    </row>
    <row r="122" spans="1:9" ht="16" x14ac:dyDescent="0.2">
      <c r="A122" s="22" t="s">
        <v>185</v>
      </c>
      <c r="B122" s="19" t="s">
        <v>210</v>
      </c>
      <c r="C122" s="19">
        <v>3</v>
      </c>
      <c r="D122" s="23" t="s">
        <v>211</v>
      </c>
      <c r="E122" s="19" t="s">
        <v>14</v>
      </c>
      <c r="F122" s="19" t="s">
        <v>15</v>
      </c>
      <c r="G122" s="19"/>
      <c r="H122" s="21"/>
      <c r="I122" s="17">
        <f t="shared" si="1"/>
        <v>0</v>
      </c>
    </row>
    <row r="123" spans="1:9" ht="16" x14ac:dyDescent="0.2">
      <c r="A123" s="22" t="s">
        <v>185</v>
      </c>
      <c r="B123" s="19" t="s">
        <v>212</v>
      </c>
      <c r="C123" s="19">
        <v>3</v>
      </c>
      <c r="D123" s="23" t="s">
        <v>213</v>
      </c>
      <c r="E123" s="19" t="s">
        <v>14</v>
      </c>
      <c r="F123" s="19" t="s">
        <v>15</v>
      </c>
      <c r="G123" s="19"/>
      <c r="H123" s="21"/>
      <c r="I123" s="17">
        <f t="shared" si="1"/>
        <v>0</v>
      </c>
    </row>
    <row r="124" spans="1:9" ht="16" x14ac:dyDescent="0.2">
      <c r="A124" s="22" t="s">
        <v>185</v>
      </c>
      <c r="B124" s="19" t="s">
        <v>214</v>
      </c>
      <c r="C124" s="19">
        <v>3</v>
      </c>
      <c r="D124" s="23" t="s">
        <v>215</v>
      </c>
      <c r="E124" s="19" t="s">
        <v>14</v>
      </c>
      <c r="F124" s="19" t="s">
        <v>15</v>
      </c>
      <c r="G124" s="19"/>
      <c r="H124" s="21"/>
      <c r="I124" s="17">
        <f t="shared" si="1"/>
        <v>0</v>
      </c>
    </row>
    <row r="125" spans="1:9" ht="16" x14ac:dyDescent="0.2">
      <c r="A125" s="22" t="s">
        <v>185</v>
      </c>
      <c r="B125" s="19" t="s">
        <v>216</v>
      </c>
      <c r="C125" s="19">
        <v>3</v>
      </c>
      <c r="D125" s="23" t="s">
        <v>217</v>
      </c>
      <c r="E125" s="19" t="s">
        <v>14</v>
      </c>
      <c r="F125" s="19" t="s">
        <v>15</v>
      </c>
      <c r="G125" s="19"/>
      <c r="H125" s="21"/>
      <c r="I125" s="17">
        <f t="shared" si="1"/>
        <v>0</v>
      </c>
    </row>
    <row r="126" spans="1:9" ht="16" x14ac:dyDescent="0.2">
      <c r="A126" s="22" t="s">
        <v>185</v>
      </c>
      <c r="B126" s="19" t="s">
        <v>218</v>
      </c>
      <c r="C126" s="19">
        <v>3</v>
      </c>
      <c r="D126" s="23" t="s">
        <v>219</v>
      </c>
      <c r="E126" s="19" t="s">
        <v>14</v>
      </c>
      <c r="F126" s="19" t="s">
        <v>15</v>
      </c>
      <c r="G126" s="19"/>
      <c r="H126" s="21"/>
      <c r="I126" s="17">
        <f t="shared" si="1"/>
        <v>0</v>
      </c>
    </row>
    <row r="127" spans="1:9" ht="16" x14ac:dyDescent="0.2">
      <c r="A127" s="22" t="s">
        <v>185</v>
      </c>
      <c r="B127" s="19" t="s">
        <v>220</v>
      </c>
      <c r="C127" s="19">
        <v>2</v>
      </c>
      <c r="D127" s="23" t="s">
        <v>221</v>
      </c>
      <c r="E127" s="19" t="s">
        <v>14</v>
      </c>
      <c r="F127" s="19" t="s">
        <v>15</v>
      </c>
      <c r="G127" s="19"/>
      <c r="H127" s="21"/>
      <c r="I127" s="17">
        <f t="shared" si="1"/>
        <v>0</v>
      </c>
    </row>
    <row r="128" spans="1:9" ht="16" x14ac:dyDescent="0.2">
      <c r="A128" s="22" t="s">
        <v>185</v>
      </c>
      <c r="B128" s="19" t="s">
        <v>222</v>
      </c>
      <c r="C128" s="19">
        <v>3</v>
      </c>
      <c r="D128" s="23" t="s">
        <v>223</v>
      </c>
      <c r="E128" s="19" t="s">
        <v>14</v>
      </c>
      <c r="F128" s="19" t="s">
        <v>15</v>
      </c>
      <c r="G128" s="19"/>
      <c r="H128" s="21"/>
      <c r="I128" s="17">
        <f t="shared" si="1"/>
        <v>0</v>
      </c>
    </row>
    <row r="129" spans="1:9" ht="16" x14ac:dyDescent="0.2">
      <c r="A129" s="22" t="s">
        <v>185</v>
      </c>
      <c r="B129" s="19" t="s">
        <v>224</v>
      </c>
      <c r="C129" s="19">
        <v>3</v>
      </c>
      <c r="D129" s="23" t="s">
        <v>225</v>
      </c>
      <c r="E129" s="19" t="s">
        <v>14</v>
      </c>
      <c r="F129" s="19" t="s">
        <v>15</v>
      </c>
      <c r="G129" s="19"/>
      <c r="H129" s="21"/>
      <c r="I129" s="17">
        <f t="shared" si="1"/>
        <v>0</v>
      </c>
    </row>
    <row r="130" spans="1:9" ht="16" x14ac:dyDescent="0.2">
      <c r="A130" s="22" t="s">
        <v>185</v>
      </c>
      <c r="B130" s="19" t="s">
        <v>226</v>
      </c>
      <c r="C130" s="19">
        <v>3</v>
      </c>
      <c r="D130" s="23" t="s">
        <v>227</v>
      </c>
      <c r="E130" s="19" t="s">
        <v>14</v>
      </c>
      <c r="F130" s="19" t="s">
        <v>15</v>
      </c>
      <c r="G130" s="19"/>
      <c r="H130" s="21"/>
      <c r="I130" s="17">
        <f t="shared" si="1"/>
        <v>0</v>
      </c>
    </row>
    <row r="131" spans="1:9" ht="16" x14ac:dyDescent="0.2">
      <c r="A131" s="22" t="s">
        <v>185</v>
      </c>
      <c r="B131" s="19" t="s">
        <v>228</v>
      </c>
      <c r="C131" s="19">
        <v>3</v>
      </c>
      <c r="D131" s="23" t="s">
        <v>229</v>
      </c>
      <c r="E131" s="19" t="s">
        <v>14</v>
      </c>
      <c r="F131" s="19" t="s">
        <v>15</v>
      </c>
      <c r="G131" s="19"/>
      <c r="H131" s="21"/>
      <c r="I131" s="17">
        <f t="shared" si="1"/>
        <v>0</v>
      </c>
    </row>
    <row r="132" spans="1:9" ht="16" x14ac:dyDescent="0.2">
      <c r="A132" s="22" t="s">
        <v>185</v>
      </c>
      <c r="B132" s="19" t="s">
        <v>230</v>
      </c>
      <c r="C132" s="19">
        <v>3</v>
      </c>
      <c r="D132" s="23" t="s">
        <v>231</v>
      </c>
      <c r="E132" s="19" t="s">
        <v>14</v>
      </c>
      <c r="F132" s="19" t="s">
        <v>15</v>
      </c>
      <c r="G132" s="19"/>
      <c r="H132" s="21"/>
      <c r="I132" s="17">
        <f t="shared" ref="I132:I195" si="2">IF(OR($E132="Estudado",LEFT($E132,7)="Revisão"),1,0)</f>
        <v>0</v>
      </c>
    </row>
    <row r="133" spans="1:9" ht="16" x14ac:dyDescent="0.2">
      <c r="A133" s="22" t="s">
        <v>185</v>
      </c>
      <c r="B133" s="19" t="s">
        <v>232</v>
      </c>
      <c r="C133" s="19">
        <v>2</v>
      </c>
      <c r="D133" s="23" t="s">
        <v>233</v>
      </c>
      <c r="E133" s="19" t="s">
        <v>14</v>
      </c>
      <c r="F133" s="19" t="s">
        <v>15</v>
      </c>
      <c r="G133" s="19"/>
      <c r="H133" s="21"/>
      <c r="I133" s="17">
        <f t="shared" si="2"/>
        <v>0</v>
      </c>
    </row>
    <row r="134" spans="1:9" ht="16" x14ac:dyDescent="0.2">
      <c r="A134" s="22" t="s">
        <v>185</v>
      </c>
      <c r="B134" s="19" t="s">
        <v>234</v>
      </c>
      <c r="C134" s="19">
        <v>3</v>
      </c>
      <c r="D134" s="23" t="s">
        <v>235</v>
      </c>
      <c r="E134" s="19" t="s">
        <v>14</v>
      </c>
      <c r="F134" s="19" t="s">
        <v>15</v>
      </c>
      <c r="G134" s="19"/>
      <c r="H134" s="21"/>
      <c r="I134" s="17">
        <f t="shared" si="2"/>
        <v>0</v>
      </c>
    </row>
    <row r="135" spans="1:9" ht="16" x14ac:dyDescent="0.2">
      <c r="A135" s="22" t="s">
        <v>185</v>
      </c>
      <c r="B135" s="19" t="s">
        <v>236</v>
      </c>
      <c r="C135" s="19">
        <v>3</v>
      </c>
      <c r="D135" s="23" t="s">
        <v>237</v>
      </c>
      <c r="E135" s="19" t="s">
        <v>14</v>
      </c>
      <c r="F135" s="19" t="s">
        <v>15</v>
      </c>
      <c r="G135" s="19"/>
      <c r="H135" s="21"/>
      <c r="I135" s="17">
        <f t="shared" si="2"/>
        <v>0</v>
      </c>
    </row>
    <row r="136" spans="1:9" ht="16" x14ac:dyDescent="0.2">
      <c r="A136" s="22" t="s">
        <v>185</v>
      </c>
      <c r="B136" s="19" t="s">
        <v>238</v>
      </c>
      <c r="C136" s="19">
        <v>4</v>
      </c>
      <c r="D136" s="23" t="s">
        <v>239</v>
      </c>
      <c r="E136" s="19" t="s">
        <v>14</v>
      </c>
      <c r="F136" s="19" t="s">
        <v>15</v>
      </c>
      <c r="G136" s="19"/>
      <c r="H136" s="21"/>
      <c r="I136" s="17">
        <f t="shared" si="2"/>
        <v>0</v>
      </c>
    </row>
    <row r="137" spans="1:9" ht="16" x14ac:dyDescent="0.2">
      <c r="A137" s="22" t="s">
        <v>185</v>
      </c>
      <c r="B137" s="19" t="s">
        <v>240</v>
      </c>
      <c r="C137" s="19">
        <v>2</v>
      </c>
      <c r="D137" s="23" t="s">
        <v>241</v>
      </c>
      <c r="E137" s="19" t="s">
        <v>14</v>
      </c>
      <c r="F137" s="19" t="s">
        <v>15</v>
      </c>
      <c r="G137" s="19"/>
      <c r="H137" s="21"/>
      <c r="I137" s="17">
        <f t="shared" si="2"/>
        <v>0</v>
      </c>
    </row>
    <row r="138" spans="1:9" ht="16" x14ac:dyDescent="0.2">
      <c r="A138" s="22" t="s">
        <v>185</v>
      </c>
      <c r="B138" s="19" t="s">
        <v>242</v>
      </c>
      <c r="C138" s="19">
        <v>3</v>
      </c>
      <c r="D138" s="23" t="s">
        <v>243</v>
      </c>
      <c r="E138" s="19" t="s">
        <v>14</v>
      </c>
      <c r="F138" s="19" t="s">
        <v>15</v>
      </c>
      <c r="G138" s="19"/>
      <c r="H138" s="21"/>
      <c r="I138" s="17">
        <f t="shared" si="2"/>
        <v>0</v>
      </c>
    </row>
    <row r="139" spans="1:9" ht="16" x14ac:dyDescent="0.2">
      <c r="A139" s="2" t="s">
        <v>244</v>
      </c>
      <c r="B139" s="3" t="s">
        <v>12</v>
      </c>
      <c r="C139" s="3">
        <v>1</v>
      </c>
      <c r="D139" s="4" t="s">
        <v>245</v>
      </c>
      <c r="E139" s="3" t="s">
        <v>14</v>
      </c>
      <c r="F139" s="3" t="s">
        <v>15</v>
      </c>
      <c r="G139" s="3"/>
      <c r="H139" s="5"/>
      <c r="I139" s="6">
        <f t="shared" si="2"/>
        <v>0</v>
      </c>
    </row>
    <row r="140" spans="1:9" ht="16" x14ac:dyDescent="0.2">
      <c r="A140" s="11" t="s">
        <v>244</v>
      </c>
      <c r="B140" s="8" t="s">
        <v>93</v>
      </c>
      <c r="C140" s="8">
        <v>2</v>
      </c>
      <c r="D140" s="12" t="s">
        <v>246</v>
      </c>
      <c r="E140" s="8" t="s">
        <v>14</v>
      </c>
      <c r="F140" s="8" t="s">
        <v>15</v>
      </c>
      <c r="G140" s="8"/>
      <c r="H140" s="10"/>
      <c r="I140" s="6">
        <f t="shared" si="2"/>
        <v>0</v>
      </c>
    </row>
    <row r="141" spans="1:9" ht="16" x14ac:dyDescent="0.2">
      <c r="A141" s="11" t="s">
        <v>244</v>
      </c>
      <c r="B141" s="8" t="s">
        <v>188</v>
      </c>
      <c r="C141" s="8">
        <v>2</v>
      </c>
      <c r="D141" s="12" t="s">
        <v>247</v>
      </c>
      <c r="E141" s="8" t="s">
        <v>14</v>
      </c>
      <c r="F141" s="8" t="s">
        <v>15</v>
      </c>
      <c r="G141" s="8"/>
      <c r="H141" s="10"/>
      <c r="I141" s="6">
        <f t="shared" si="2"/>
        <v>0</v>
      </c>
    </row>
    <row r="142" spans="1:9" ht="16" x14ac:dyDescent="0.2">
      <c r="A142" s="11" t="s">
        <v>244</v>
      </c>
      <c r="B142" s="8" t="s">
        <v>248</v>
      </c>
      <c r="C142" s="8">
        <v>2</v>
      </c>
      <c r="D142" s="12" t="s">
        <v>249</v>
      </c>
      <c r="E142" s="8" t="s">
        <v>14</v>
      </c>
      <c r="F142" s="8" t="s">
        <v>15</v>
      </c>
      <c r="G142" s="8"/>
      <c r="H142" s="10"/>
      <c r="I142" s="6">
        <f t="shared" si="2"/>
        <v>0</v>
      </c>
    </row>
    <row r="143" spans="1:9" ht="16" x14ac:dyDescent="0.2">
      <c r="A143" s="7" t="s">
        <v>244</v>
      </c>
      <c r="B143" s="8" t="s">
        <v>16</v>
      </c>
      <c r="C143" s="8">
        <v>1</v>
      </c>
      <c r="D143" s="9" t="s">
        <v>250</v>
      </c>
      <c r="E143" s="8" t="s">
        <v>14</v>
      </c>
      <c r="F143" s="8" t="s">
        <v>15</v>
      </c>
      <c r="G143" s="8"/>
      <c r="H143" s="10"/>
      <c r="I143" s="6">
        <f t="shared" si="2"/>
        <v>0</v>
      </c>
    </row>
    <row r="144" spans="1:9" ht="16" x14ac:dyDescent="0.2">
      <c r="A144" s="11" t="s">
        <v>244</v>
      </c>
      <c r="B144" s="8" t="s">
        <v>96</v>
      </c>
      <c r="C144" s="8">
        <v>2</v>
      </c>
      <c r="D144" s="12" t="s">
        <v>97</v>
      </c>
      <c r="E144" s="8" t="s">
        <v>14</v>
      </c>
      <c r="F144" s="8" t="s">
        <v>15</v>
      </c>
      <c r="G144" s="8"/>
      <c r="H144" s="10"/>
      <c r="I144" s="6">
        <f t="shared" si="2"/>
        <v>0</v>
      </c>
    </row>
    <row r="145" spans="1:9" ht="16" x14ac:dyDescent="0.2">
      <c r="A145" s="11" t="s">
        <v>244</v>
      </c>
      <c r="B145" s="8" t="s">
        <v>98</v>
      </c>
      <c r="C145" s="8">
        <v>2</v>
      </c>
      <c r="D145" s="12" t="s">
        <v>251</v>
      </c>
      <c r="E145" s="8" t="s">
        <v>14</v>
      </c>
      <c r="F145" s="8" t="s">
        <v>15</v>
      </c>
      <c r="G145" s="8"/>
      <c r="H145" s="10"/>
      <c r="I145" s="6">
        <f t="shared" si="2"/>
        <v>0</v>
      </c>
    </row>
    <row r="146" spans="1:9" ht="16" x14ac:dyDescent="0.2">
      <c r="A146" s="11" t="s">
        <v>244</v>
      </c>
      <c r="B146" s="8" t="s">
        <v>100</v>
      </c>
      <c r="C146" s="8">
        <v>2</v>
      </c>
      <c r="D146" s="12" t="s">
        <v>252</v>
      </c>
      <c r="E146" s="8" t="s">
        <v>14</v>
      </c>
      <c r="F146" s="8" t="s">
        <v>15</v>
      </c>
      <c r="G146" s="8"/>
      <c r="H146" s="10"/>
      <c r="I146" s="6">
        <f t="shared" si="2"/>
        <v>0</v>
      </c>
    </row>
    <row r="147" spans="1:9" ht="16" x14ac:dyDescent="0.2">
      <c r="A147" s="11" t="s">
        <v>244</v>
      </c>
      <c r="B147" s="8" t="s">
        <v>206</v>
      </c>
      <c r="C147" s="8">
        <v>2</v>
      </c>
      <c r="D147" s="12" t="s">
        <v>253</v>
      </c>
      <c r="E147" s="8" t="s">
        <v>14</v>
      </c>
      <c r="F147" s="8" t="s">
        <v>15</v>
      </c>
      <c r="G147" s="8"/>
      <c r="H147" s="10"/>
      <c r="I147" s="6">
        <f t="shared" si="2"/>
        <v>0</v>
      </c>
    </row>
    <row r="148" spans="1:9" ht="16" x14ac:dyDescent="0.2">
      <c r="A148" s="11" t="s">
        <v>244</v>
      </c>
      <c r="B148" s="8" t="s">
        <v>220</v>
      </c>
      <c r="C148" s="8">
        <v>2</v>
      </c>
      <c r="D148" s="12" t="s">
        <v>254</v>
      </c>
      <c r="E148" s="8" t="s">
        <v>14</v>
      </c>
      <c r="F148" s="8" t="s">
        <v>15</v>
      </c>
      <c r="G148" s="8"/>
      <c r="H148" s="10"/>
      <c r="I148" s="6">
        <f t="shared" si="2"/>
        <v>0</v>
      </c>
    </row>
    <row r="149" spans="1:9" ht="16" x14ac:dyDescent="0.2">
      <c r="A149" s="11" t="s">
        <v>244</v>
      </c>
      <c r="B149" s="8" t="s">
        <v>232</v>
      </c>
      <c r="C149" s="8">
        <v>2</v>
      </c>
      <c r="D149" s="12" t="s">
        <v>255</v>
      </c>
      <c r="E149" s="8" t="s">
        <v>14</v>
      </c>
      <c r="F149" s="8" t="s">
        <v>15</v>
      </c>
      <c r="G149" s="8"/>
      <c r="H149" s="10"/>
      <c r="I149" s="6">
        <f t="shared" si="2"/>
        <v>0</v>
      </c>
    </row>
    <row r="150" spans="1:9" ht="16" x14ac:dyDescent="0.2">
      <c r="A150" s="11" t="s">
        <v>244</v>
      </c>
      <c r="B150" s="8" t="s">
        <v>240</v>
      </c>
      <c r="C150" s="8">
        <v>2</v>
      </c>
      <c r="D150" s="12" t="s">
        <v>256</v>
      </c>
      <c r="E150" s="8" t="s">
        <v>14</v>
      </c>
      <c r="F150" s="8" t="s">
        <v>15</v>
      </c>
      <c r="G150" s="8"/>
      <c r="H150" s="10"/>
      <c r="I150" s="6">
        <f t="shared" si="2"/>
        <v>0</v>
      </c>
    </row>
    <row r="151" spans="1:9" ht="16" x14ac:dyDescent="0.2">
      <c r="A151" s="11" t="s">
        <v>244</v>
      </c>
      <c r="B151" s="8" t="s">
        <v>257</v>
      </c>
      <c r="C151" s="8">
        <v>2</v>
      </c>
      <c r="D151" s="12" t="s">
        <v>258</v>
      </c>
      <c r="E151" s="8" t="s">
        <v>14</v>
      </c>
      <c r="F151" s="8" t="s">
        <v>15</v>
      </c>
      <c r="G151" s="8"/>
      <c r="H151" s="10"/>
      <c r="I151" s="6">
        <f t="shared" si="2"/>
        <v>0</v>
      </c>
    </row>
    <row r="152" spans="1:9" ht="16" x14ac:dyDescent="0.2">
      <c r="A152" s="11" t="s">
        <v>244</v>
      </c>
      <c r="B152" s="8" t="s">
        <v>259</v>
      </c>
      <c r="C152" s="8">
        <v>2</v>
      </c>
      <c r="D152" s="12" t="s">
        <v>260</v>
      </c>
      <c r="E152" s="8" t="s">
        <v>14</v>
      </c>
      <c r="F152" s="8" t="s">
        <v>15</v>
      </c>
      <c r="G152" s="8"/>
      <c r="H152" s="10"/>
      <c r="I152" s="6">
        <f t="shared" si="2"/>
        <v>0</v>
      </c>
    </row>
    <row r="153" spans="1:9" ht="16" x14ac:dyDescent="0.2">
      <c r="A153" s="7" t="s">
        <v>244</v>
      </c>
      <c r="B153" s="8" t="s">
        <v>18</v>
      </c>
      <c r="C153" s="8">
        <v>1</v>
      </c>
      <c r="D153" s="9" t="s">
        <v>261</v>
      </c>
      <c r="E153" s="8" t="s">
        <v>14</v>
      </c>
      <c r="F153" s="8" t="s">
        <v>15</v>
      </c>
      <c r="G153" s="8"/>
      <c r="H153" s="10"/>
      <c r="I153" s="6">
        <f t="shared" si="2"/>
        <v>0</v>
      </c>
    </row>
    <row r="154" spans="1:9" ht="16" x14ac:dyDescent="0.2">
      <c r="A154" s="11" t="s">
        <v>244</v>
      </c>
      <c r="B154" s="8" t="s">
        <v>20</v>
      </c>
      <c r="C154" s="8">
        <v>2</v>
      </c>
      <c r="D154" s="12" t="s">
        <v>262</v>
      </c>
      <c r="E154" s="8" t="s">
        <v>14</v>
      </c>
      <c r="F154" s="8" t="s">
        <v>15</v>
      </c>
      <c r="G154" s="8"/>
      <c r="H154" s="10"/>
      <c r="I154" s="6">
        <f t="shared" si="2"/>
        <v>0</v>
      </c>
    </row>
    <row r="155" spans="1:9" ht="16" x14ac:dyDescent="0.2">
      <c r="A155" s="11" t="s">
        <v>244</v>
      </c>
      <c r="B155" s="8" t="s">
        <v>22</v>
      </c>
      <c r="C155" s="8">
        <v>2</v>
      </c>
      <c r="D155" s="12" t="s">
        <v>263</v>
      </c>
      <c r="E155" s="8" t="s">
        <v>14</v>
      </c>
      <c r="F155" s="8" t="s">
        <v>15</v>
      </c>
      <c r="G155" s="8"/>
      <c r="H155" s="10"/>
      <c r="I155" s="6">
        <f t="shared" si="2"/>
        <v>0</v>
      </c>
    </row>
    <row r="156" spans="1:9" ht="16" x14ac:dyDescent="0.2">
      <c r="A156" s="11" t="s">
        <v>244</v>
      </c>
      <c r="B156" s="8" t="s">
        <v>107</v>
      </c>
      <c r="C156" s="8">
        <v>2</v>
      </c>
      <c r="D156" s="12" t="s">
        <v>264</v>
      </c>
      <c r="E156" s="8" t="s">
        <v>14</v>
      </c>
      <c r="F156" s="8" t="s">
        <v>15</v>
      </c>
      <c r="G156" s="8"/>
      <c r="H156" s="10"/>
      <c r="I156" s="6">
        <f t="shared" si="2"/>
        <v>0</v>
      </c>
    </row>
    <row r="157" spans="1:9" ht="16" x14ac:dyDescent="0.2">
      <c r="A157" s="11" t="s">
        <v>244</v>
      </c>
      <c r="B157" s="8" t="s">
        <v>265</v>
      </c>
      <c r="C157" s="8">
        <v>2</v>
      </c>
      <c r="D157" s="12" t="s">
        <v>266</v>
      </c>
      <c r="E157" s="8" t="s">
        <v>14</v>
      </c>
      <c r="F157" s="8" t="s">
        <v>15</v>
      </c>
      <c r="G157" s="8"/>
      <c r="H157" s="10"/>
      <c r="I157" s="6">
        <f t="shared" si="2"/>
        <v>0</v>
      </c>
    </row>
    <row r="158" spans="1:9" ht="16" x14ac:dyDescent="0.2">
      <c r="A158" s="11" t="s">
        <v>244</v>
      </c>
      <c r="B158" s="8" t="s">
        <v>267</v>
      </c>
      <c r="C158" s="8">
        <v>2</v>
      </c>
      <c r="D158" s="12" t="s">
        <v>268</v>
      </c>
      <c r="E158" s="8" t="s">
        <v>14</v>
      </c>
      <c r="F158" s="8" t="s">
        <v>15</v>
      </c>
      <c r="G158" s="8"/>
      <c r="H158" s="10"/>
      <c r="I158" s="6">
        <f t="shared" si="2"/>
        <v>0</v>
      </c>
    </row>
    <row r="159" spans="1:9" ht="16" x14ac:dyDescent="0.2">
      <c r="A159" s="11" t="s">
        <v>244</v>
      </c>
      <c r="B159" s="8" t="s">
        <v>269</v>
      </c>
      <c r="C159" s="8">
        <v>2</v>
      </c>
      <c r="D159" s="12" t="s">
        <v>270</v>
      </c>
      <c r="E159" s="8" t="s">
        <v>14</v>
      </c>
      <c r="F159" s="8" t="s">
        <v>15</v>
      </c>
      <c r="G159" s="8"/>
      <c r="H159" s="10"/>
      <c r="I159" s="6">
        <f t="shared" si="2"/>
        <v>0</v>
      </c>
    </row>
    <row r="160" spans="1:9" ht="16" x14ac:dyDescent="0.2">
      <c r="A160" s="11" t="s">
        <v>244</v>
      </c>
      <c r="B160" s="8" t="s">
        <v>271</v>
      </c>
      <c r="C160" s="8">
        <v>2</v>
      </c>
      <c r="D160" s="12" t="s">
        <v>272</v>
      </c>
      <c r="E160" s="8" t="s">
        <v>14</v>
      </c>
      <c r="F160" s="8" t="s">
        <v>15</v>
      </c>
      <c r="G160" s="8"/>
      <c r="H160" s="10"/>
      <c r="I160" s="6">
        <f t="shared" si="2"/>
        <v>0</v>
      </c>
    </row>
    <row r="161" spans="1:9" ht="16" x14ac:dyDescent="0.2">
      <c r="A161" s="11" t="s">
        <v>244</v>
      </c>
      <c r="B161" s="8" t="s">
        <v>273</v>
      </c>
      <c r="C161" s="8">
        <v>2</v>
      </c>
      <c r="D161" s="12" t="s">
        <v>274</v>
      </c>
      <c r="E161" s="8" t="s">
        <v>14</v>
      </c>
      <c r="F161" s="8" t="s">
        <v>15</v>
      </c>
      <c r="G161" s="8"/>
      <c r="H161" s="10"/>
      <c r="I161" s="6">
        <f t="shared" si="2"/>
        <v>0</v>
      </c>
    </row>
    <row r="162" spans="1:9" ht="16" x14ac:dyDescent="0.2">
      <c r="A162" s="11" t="s">
        <v>244</v>
      </c>
      <c r="B162" s="8" t="s">
        <v>275</v>
      </c>
      <c r="C162" s="8">
        <v>2</v>
      </c>
      <c r="D162" s="12" t="s">
        <v>276</v>
      </c>
      <c r="E162" s="8" t="s">
        <v>14</v>
      </c>
      <c r="F162" s="8" t="s">
        <v>15</v>
      </c>
      <c r="G162" s="8"/>
      <c r="H162" s="10"/>
      <c r="I162" s="6">
        <f t="shared" si="2"/>
        <v>0</v>
      </c>
    </row>
    <row r="163" spans="1:9" ht="16" x14ac:dyDescent="0.2">
      <c r="A163" s="11" t="s">
        <v>244</v>
      </c>
      <c r="B163" s="8" t="s">
        <v>277</v>
      </c>
      <c r="C163" s="8">
        <v>2</v>
      </c>
      <c r="D163" s="12" t="s">
        <v>278</v>
      </c>
      <c r="E163" s="8" t="s">
        <v>14</v>
      </c>
      <c r="F163" s="8" t="s">
        <v>15</v>
      </c>
      <c r="G163" s="8"/>
      <c r="H163" s="10"/>
      <c r="I163" s="6">
        <f t="shared" si="2"/>
        <v>0</v>
      </c>
    </row>
    <row r="164" spans="1:9" ht="16" x14ac:dyDescent="0.2">
      <c r="A164" s="11" t="s">
        <v>244</v>
      </c>
      <c r="B164" s="8" t="s">
        <v>279</v>
      </c>
      <c r="C164" s="8">
        <v>2</v>
      </c>
      <c r="D164" s="12" t="s">
        <v>280</v>
      </c>
      <c r="E164" s="8" t="s">
        <v>14</v>
      </c>
      <c r="F164" s="8" t="s">
        <v>15</v>
      </c>
      <c r="G164" s="8"/>
      <c r="H164" s="10"/>
      <c r="I164" s="6">
        <f t="shared" si="2"/>
        <v>0</v>
      </c>
    </row>
    <row r="165" spans="1:9" ht="16" x14ac:dyDescent="0.2">
      <c r="A165" s="11" t="s">
        <v>244</v>
      </c>
      <c r="B165" s="8" t="s">
        <v>281</v>
      </c>
      <c r="C165" s="8">
        <v>2</v>
      </c>
      <c r="D165" s="12" t="s">
        <v>282</v>
      </c>
      <c r="E165" s="8" t="s">
        <v>14</v>
      </c>
      <c r="F165" s="8" t="s">
        <v>15</v>
      </c>
      <c r="G165" s="8"/>
      <c r="H165" s="10"/>
      <c r="I165" s="6">
        <f t="shared" si="2"/>
        <v>0</v>
      </c>
    </row>
    <row r="166" spans="1:9" ht="16" x14ac:dyDescent="0.2">
      <c r="A166" s="7" t="s">
        <v>244</v>
      </c>
      <c r="B166" s="8" t="s">
        <v>24</v>
      </c>
      <c r="C166" s="8">
        <v>1</v>
      </c>
      <c r="D166" s="9" t="s">
        <v>283</v>
      </c>
      <c r="E166" s="8" t="s">
        <v>14</v>
      </c>
      <c r="F166" s="8" t="s">
        <v>15</v>
      </c>
      <c r="G166" s="8"/>
      <c r="H166" s="10"/>
      <c r="I166" s="6">
        <f t="shared" si="2"/>
        <v>0</v>
      </c>
    </row>
    <row r="167" spans="1:9" ht="16" x14ac:dyDescent="0.2">
      <c r="A167" s="11" t="s">
        <v>244</v>
      </c>
      <c r="B167" s="8" t="s">
        <v>26</v>
      </c>
      <c r="C167" s="8">
        <v>2</v>
      </c>
      <c r="D167" s="12" t="s">
        <v>284</v>
      </c>
      <c r="E167" s="8" t="s">
        <v>14</v>
      </c>
      <c r="F167" s="8" t="s">
        <v>15</v>
      </c>
      <c r="G167" s="8"/>
      <c r="H167" s="10"/>
      <c r="I167" s="6">
        <f t="shared" si="2"/>
        <v>0</v>
      </c>
    </row>
    <row r="168" spans="1:9" ht="16" x14ac:dyDescent="0.2">
      <c r="A168" s="11" t="s">
        <v>244</v>
      </c>
      <c r="B168" s="8" t="s">
        <v>28</v>
      </c>
      <c r="C168" s="8">
        <v>2</v>
      </c>
      <c r="D168" s="12" t="s">
        <v>285</v>
      </c>
      <c r="E168" s="8" t="s">
        <v>14</v>
      </c>
      <c r="F168" s="8" t="s">
        <v>15</v>
      </c>
      <c r="G168" s="8"/>
      <c r="H168" s="10"/>
      <c r="I168" s="6">
        <f t="shared" si="2"/>
        <v>0</v>
      </c>
    </row>
    <row r="169" spans="1:9" ht="16" x14ac:dyDescent="0.2">
      <c r="A169" s="11" t="s">
        <v>244</v>
      </c>
      <c r="B169" s="8" t="s">
        <v>111</v>
      </c>
      <c r="C169" s="8">
        <v>2</v>
      </c>
      <c r="D169" s="12" t="s">
        <v>286</v>
      </c>
      <c r="E169" s="8" t="s">
        <v>14</v>
      </c>
      <c r="F169" s="8" t="s">
        <v>15</v>
      </c>
      <c r="G169" s="8"/>
      <c r="H169" s="10"/>
      <c r="I169" s="6">
        <f t="shared" si="2"/>
        <v>0</v>
      </c>
    </row>
    <row r="170" spans="1:9" ht="16" x14ac:dyDescent="0.2">
      <c r="A170" s="7" t="s">
        <v>244</v>
      </c>
      <c r="B170" s="8" t="s">
        <v>30</v>
      </c>
      <c r="C170" s="8">
        <v>1</v>
      </c>
      <c r="D170" s="9" t="s">
        <v>287</v>
      </c>
      <c r="E170" s="8" t="s">
        <v>14</v>
      </c>
      <c r="F170" s="8" t="s">
        <v>15</v>
      </c>
      <c r="G170" s="8"/>
      <c r="H170" s="10"/>
      <c r="I170" s="6">
        <f t="shared" si="2"/>
        <v>0</v>
      </c>
    </row>
    <row r="171" spans="1:9" ht="16" x14ac:dyDescent="0.2">
      <c r="A171" s="7" t="s">
        <v>244</v>
      </c>
      <c r="B171" s="8" t="s">
        <v>44</v>
      </c>
      <c r="C171" s="8">
        <v>1</v>
      </c>
      <c r="D171" s="9" t="s">
        <v>288</v>
      </c>
      <c r="E171" s="8" t="s">
        <v>14</v>
      </c>
      <c r="F171" s="8" t="s">
        <v>15</v>
      </c>
      <c r="G171" s="8"/>
      <c r="H171" s="10"/>
      <c r="I171" s="6">
        <f t="shared" si="2"/>
        <v>0</v>
      </c>
    </row>
    <row r="172" spans="1:9" ht="16" x14ac:dyDescent="0.2">
      <c r="A172" s="11" t="s">
        <v>244</v>
      </c>
      <c r="B172" s="8" t="s">
        <v>46</v>
      </c>
      <c r="C172" s="8">
        <v>2</v>
      </c>
      <c r="D172" s="12" t="s">
        <v>86</v>
      </c>
      <c r="E172" s="8" t="s">
        <v>14</v>
      </c>
      <c r="F172" s="8" t="s">
        <v>15</v>
      </c>
      <c r="G172" s="8"/>
      <c r="H172" s="10"/>
      <c r="I172" s="6">
        <f t="shared" si="2"/>
        <v>0</v>
      </c>
    </row>
    <row r="173" spans="1:9" ht="16" x14ac:dyDescent="0.2">
      <c r="A173" s="11" t="s">
        <v>244</v>
      </c>
      <c r="B173" s="8" t="s">
        <v>48</v>
      </c>
      <c r="C173" s="8">
        <v>2</v>
      </c>
      <c r="D173" s="12" t="s">
        <v>289</v>
      </c>
      <c r="E173" s="8" t="s">
        <v>14</v>
      </c>
      <c r="F173" s="8" t="s">
        <v>15</v>
      </c>
      <c r="G173" s="8"/>
      <c r="H173" s="10"/>
      <c r="I173" s="6">
        <f t="shared" si="2"/>
        <v>0</v>
      </c>
    </row>
    <row r="174" spans="1:9" ht="16" x14ac:dyDescent="0.2">
      <c r="A174" s="11" t="s">
        <v>244</v>
      </c>
      <c r="B174" s="8" t="s">
        <v>290</v>
      </c>
      <c r="C174" s="8">
        <v>2</v>
      </c>
      <c r="D174" s="12" t="s">
        <v>291</v>
      </c>
      <c r="E174" s="8" t="s">
        <v>14</v>
      </c>
      <c r="F174" s="8" t="s">
        <v>15</v>
      </c>
      <c r="G174" s="8"/>
      <c r="H174" s="10"/>
      <c r="I174" s="6">
        <f t="shared" si="2"/>
        <v>0</v>
      </c>
    </row>
    <row r="175" spans="1:9" ht="16" x14ac:dyDescent="0.2">
      <c r="A175" s="11" t="s">
        <v>244</v>
      </c>
      <c r="B175" s="8" t="s">
        <v>292</v>
      </c>
      <c r="C175" s="8">
        <v>2</v>
      </c>
      <c r="D175" s="12" t="s">
        <v>293</v>
      </c>
      <c r="E175" s="8" t="s">
        <v>14</v>
      </c>
      <c r="F175" s="8" t="s">
        <v>15</v>
      </c>
      <c r="G175" s="8"/>
      <c r="H175" s="10"/>
      <c r="I175" s="6">
        <f t="shared" si="2"/>
        <v>0</v>
      </c>
    </row>
    <row r="176" spans="1:9" ht="16" x14ac:dyDescent="0.2">
      <c r="A176" s="11" t="s">
        <v>244</v>
      </c>
      <c r="B176" s="8" t="s">
        <v>294</v>
      </c>
      <c r="C176" s="8">
        <v>2</v>
      </c>
      <c r="D176" s="12" t="s">
        <v>295</v>
      </c>
      <c r="E176" s="8" t="s">
        <v>14</v>
      </c>
      <c r="F176" s="8" t="s">
        <v>15</v>
      </c>
      <c r="G176" s="8"/>
      <c r="H176" s="10"/>
      <c r="I176" s="6">
        <f t="shared" si="2"/>
        <v>0</v>
      </c>
    </row>
    <row r="177" spans="1:9" ht="16" x14ac:dyDescent="0.2">
      <c r="A177" s="11" t="s">
        <v>244</v>
      </c>
      <c r="B177" s="8" t="s">
        <v>296</v>
      </c>
      <c r="C177" s="8">
        <v>2</v>
      </c>
      <c r="D177" s="12" t="s">
        <v>297</v>
      </c>
      <c r="E177" s="8" t="s">
        <v>14</v>
      </c>
      <c r="F177" s="8" t="s">
        <v>15</v>
      </c>
      <c r="G177" s="8"/>
      <c r="H177" s="10"/>
      <c r="I177" s="6">
        <f t="shared" si="2"/>
        <v>0</v>
      </c>
    </row>
    <row r="178" spans="1:9" ht="16" x14ac:dyDescent="0.2">
      <c r="A178" s="11" t="s">
        <v>244</v>
      </c>
      <c r="B178" s="8" t="s">
        <v>298</v>
      </c>
      <c r="C178" s="8">
        <v>2</v>
      </c>
      <c r="D178" s="12" t="s">
        <v>299</v>
      </c>
      <c r="E178" s="8" t="s">
        <v>14</v>
      </c>
      <c r="F178" s="8" t="s">
        <v>15</v>
      </c>
      <c r="G178" s="8"/>
      <c r="H178" s="10"/>
      <c r="I178" s="6">
        <f t="shared" si="2"/>
        <v>0</v>
      </c>
    </row>
    <row r="179" spans="1:9" ht="16" x14ac:dyDescent="0.2">
      <c r="A179" s="11" t="s">
        <v>244</v>
      </c>
      <c r="B179" s="8" t="s">
        <v>300</v>
      </c>
      <c r="C179" s="8">
        <v>2</v>
      </c>
      <c r="D179" s="12" t="s">
        <v>301</v>
      </c>
      <c r="E179" s="8" t="s">
        <v>14</v>
      </c>
      <c r="F179" s="8" t="s">
        <v>15</v>
      </c>
      <c r="G179" s="8"/>
      <c r="H179" s="10"/>
      <c r="I179" s="6">
        <f t="shared" si="2"/>
        <v>0</v>
      </c>
    </row>
    <row r="180" spans="1:9" ht="16" x14ac:dyDescent="0.2">
      <c r="A180" s="7" t="s">
        <v>244</v>
      </c>
      <c r="B180" s="8" t="s">
        <v>73</v>
      </c>
      <c r="C180" s="8">
        <v>1</v>
      </c>
      <c r="D180" s="9" t="s">
        <v>302</v>
      </c>
      <c r="E180" s="8" t="s">
        <v>14</v>
      </c>
      <c r="F180" s="8" t="s">
        <v>15</v>
      </c>
      <c r="G180" s="8"/>
      <c r="H180" s="10"/>
      <c r="I180" s="6">
        <f t="shared" si="2"/>
        <v>0</v>
      </c>
    </row>
    <row r="181" spans="1:9" ht="16" x14ac:dyDescent="0.2">
      <c r="A181" s="7" t="s">
        <v>244</v>
      </c>
      <c r="B181" s="8" t="s">
        <v>89</v>
      </c>
      <c r="C181" s="8">
        <v>1</v>
      </c>
      <c r="D181" s="9" t="s">
        <v>303</v>
      </c>
      <c r="E181" s="8" t="s">
        <v>14</v>
      </c>
      <c r="F181" s="8" t="s">
        <v>15</v>
      </c>
      <c r="G181" s="8"/>
      <c r="H181" s="10"/>
      <c r="I181" s="6">
        <f t="shared" si="2"/>
        <v>0</v>
      </c>
    </row>
    <row r="182" spans="1:9" ht="16" x14ac:dyDescent="0.2">
      <c r="A182" s="7" t="s">
        <v>244</v>
      </c>
      <c r="B182" s="8" t="s">
        <v>161</v>
      </c>
      <c r="C182" s="8">
        <v>1</v>
      </c>
      <c r="D182" s="9" t="s">
        <v>304</v>
      </c>
      <c r="E182" s="8" t="s">
        <v>14</v>
      </c>
      <c r="F182" s="8" t="s">
        <v>15</v>
      </c>
      <c r="G182" s="8"/>
      <c r="H182" s="10"/>
      <c r="I182" s="6">
        <f t="shared" si="2"/>
        <v>0</v>
      </c>
    </row>
    <row r="183" spans="1:9" ht="16" x14ac:dyDescent="0.2">
      <c r="A183" s="7" t="s">
        <v>244</v>
      </c>
      <c r="B183" s="8" t="s">
        <v>169</v>
      </c>
      <c r="C183" s="8">
        <v>1</v>
      </c>
      <c r="D183" s="9" t="s">
        <v>305</v>
      </c>
      <c r="E183" s="8" t="s">
        <v>14</v>
      </c>
      <c r="F183" s="8" t="s">
        <v>15</v>
      </c>
      <c r="G183" s="8"/>
      <c r="H183" s="10"/>
      <c r="I183" s="6">
        <f t="shared" si="2"/>
        <v>0</v>
      </c>
    </row>
    <row r="184" spans="1:9" ht="16" x14ac:dyDescent="0.2">
      <c r="A184" s="11" t="s">
        <v>244</v>
      </c>
      <c r="B184" s="8" t="s">
        <v>171</v>
      </c>
      <c r="C184" s="8">
        <v>2</v>
      </c>
      <c r="D184" s="12" t="s">
        <v>160</v>
      </c>
      <c r="E184" s="8" t="s">
        <v>14</v>
      </c>
      <c r="F184" s="8" t="s">
        <v>15</v>
      </c>
      <c r="G184" s="8"/>
      <c r="H184" s="10"/>
      <c r="I184" s="6">
        <f t="shared" si="2"/>
        <v>0</v>
      </c>
    </row>
    <row r="185" spans="1:9" ht="16" x14ac:dyDescent="0.2">
      <c r="A185" s="11" t="s">
        <v>244</v>
      </c>
      <c r="B185" s="8" t="s">
        <v>173</v>
      </c>
      <c r="C185" s="8">
        <v>2</v>
      </c>
      <c r="D185" s="12" t="s">
        <v>158</v>
      </c>
      <c r="E185" s="8" t="s">
        <v>14</v>
      </c>
      <c r="F185" s="8" t="s">
        <v>15</v>
      </c>
      <c r="G185" s="8"/>
      <c r="H185" s="10"/>
      <c r="I185" s="6">
        <f t="shared" si="2"/>
        <v>0</v>
      </c>
    </row>
    <row r="186" spans="1:9" ht="16" x14ac:dyDescent="0.2">
      <c r="A186" s="11" t="s">
        <v>244</v>
      </c>
      <c r="B186" s="8" t="s">
        <v>175</v>
      </c>
      <c r="C186" s="8">
        <v>2</v>
      </c>
      <c r="D186" s="12" t="s">
        <v>306</v>
      </c>
      <c r="E186" s="8" t="s">
        <v>14</v>
      </c>
      <c r="F186" s="8" t="s">
        <v>15</v>
      </c>
      <c r="G186" s="8"/>
      <c r="H186" s="10"/>
      <c r="I186" s="6">
        <f t="shared" si="2"/>
        <v>0</v>
      </c>
    </row>
    <row r="187" spans="1:9" ht="16" x14ac:dyDescent="0.2">
      <c r="A187" s="11" t="s">
        <v>244</v>
      </c>
      <c r="B187" s="8" t="s">
        <v>177</v>
      </c>
      <c r="C187" s="8">
        <v>2</v>
      </c>
      <c r="D187" s="12" t="s">
        <v>86</v>
      </c>
      <c r="E187" s="8" t="s">
        <v>14</v>
      </c>
      <c r="F187" s="8" t="s">
        <v>15</v>
      </c>
      <c r="G187" s="8"/>
      <c r="H187" s="10"/>
      <c r="I187" s="6">
        <f t="shared" si="2"/>
        <v>0</v>
      </c>
    </row>
    <row r="188" spans="1:9" ht="16" x14ac:dyDescent="0.2">
      <c r="A188" s="11" t="s">
        <v>244</v>
      </c>
      <c r="B188" s="8" t="s">
        <v>307</v>
      </c>
      <c r="C188" s="8">
        <v>2</v>
      </c>
      <c r="D188" s="12" t="s">
        <v>308</v>
      </c>
      <c r="E188" s="8" t="s">
        <v>14</v>
      </c>
      <c r="F188" s="8" t="s">
        <v>15</v>
      </c>
      <c r="G188" s="8"/>
      <c r="H188" s="10"/>
      <c r="I188" s="6">
        <f t="shared" si="2"/>
        <v>0</v>
      </c>
    </row>
    <row r="189" spans="1:9" ht="16" x14ac:dyDescent="0.2">
      <c r="A189" s="11" t="s">
        <v>244</v>
      </c>
      <c r="B189" s="8" t="s">
        <v>309</v>
      </c>
      <c r="C189" s="8">
        <v>2</v>
      </c>
      <c r="D189" s="12" t="s">
        <v>266</v>
      </c>
      <c r="E189" s="8" t="s">
        <v>14</v>
      </c>
      <c r="F189" s="8" t="s">
        <v>15</v>
      </c>
      <c r="G189" s="8"/>
      <c r="H189" s="10"/>
      <c r="I189" s="6">
        <f t="shared" si="2"/>
        <v>0</v>
      </c>
    </row>
    <row r="190" spans="1:9" ht="16" x14ac:dyDescent="0.2">
      <c r="A190" s="11" t="s">
        <v>244</v>
      </c>
      <c r="B190" s="8" t="s">
        <v>310</v>
      </c>
      <c r="C190" s="8">
        <v>2</v>
      </c>
      <c r="D190" s="12" t="s">
        <v>311</v>
      </c>
      <c r="E190" s="8" t="s">
        <v>14</v>
      </c>
      <c r="F190" s="8" t="s">
        <v>15</v>
      </c>
      <c r="G190" s="8"/>
      <c r="H190" s="10"/>
      <c r="I190" s="6">
        <f t="shared" si="2"/>
        <v>0</v>
      </c>
    </row>
    <row r="191" spans="1:9" ht="16" x14ac:dyDescent="0.2">
      <c r="A191" s="13" t="s">
        <v>312</v>
      </c>
      <c r="B191" s="14" t="s">
        <v>12</v>
      </c>
      <c r="C191" s="14">
        <v>1</v>
      </c>
      <c r="D191" s="15" t="s">
        <v>313</v>
      </c>
      <c r="E191" s="14" t="s">
        <v>14</v>
      </c>
      <c r="F191" s="14" t="s">
        <v>15</v>
      </c>
      <c r="G191" s="14"/>
      <c r="H191" s="16"/>
      <c r="I191" s="17">
        <f t="shared" si="2"/>
        <v>0</v>
      </c>
    </row>
    <row r="192" spans="1:9" ht="16" x14ac:dyDescent="0.2">
      <c r="A192" s="18" t="s">
        <v>312</v>
      </c>
      <c r="B192" s="19" t="s">
        <v>16</v>
      </c>
      <c r="C192" s="19">
        <v>1</v>
      </c>
      <c r="D192" s="20" t="s">
        <v>314</v>
      </c>
      <c r="E192" s="19" t="s">
        <v>14</v>
      </c>
      <c r="F192" s="19" t="s">
        <v>15</v>
      </c>
      <c r="G192" s="19"/>
      <c r="H192" s="21"/>
      <c r="I192" s="17">
        <f t="shared" si="2"/>
        <v>0</v>
      </c>
    </row>
    <row r="193" spans="1:9" ht="16" x14ac:dyDescent="0.2">
      <c r="A193" s="18" t="s">
        <v>312</v>
      </c>
      <c r="B193" s="19" t="s">
        <v>18</v>
      </c>
      <c r="C193" s="19">
        <v>1</v>
      </c>
      <c r="D193" s="20" t="s">
        <v>315</v>
      </c>
      <c r="E193" s="19" t="s">
        <v>14</v>
      </c>
      <c r="F193" s="19" t="s">
        <v>15</v>
      </c>
      <c r="G193" s="19"/>
      <c r="H193" s="21"/>
      <c r="I193" s="17">
        <f t="shared" si="2"/>
        <v>0</v>
      </c>
    </row>
    <row r="194" spans="1:9" ht="16" x14ac:dyDescent="0.2">
      <c r="A194" s="18" t="s">
        <v>312</v>
      </c>
      <c r="B194" s="19" t="s">
        <v>24</v>
      </c>
      <c r="C194" s="19">
        <v>1</v>
      </c>
      <c r="D194" s="20" t="s">
        <v>316</v>
      </c>
      <c r="E194" s="19" t="s">
        <v>14</v>
      </c>
      <c r="F194" s="19" t="s">
        <v>15</v>
      </c>
      <c r="G194" s="19"/>
      <c r="H194" s="21"/>
      <c r="I194" s="17">
        <f t="shared" si="2"/>
        <v>0</v>
      </c>
    </row>
    <row r="195" spans="1:9" ht="16" x14ac:dyDescent="0.2">
      <c r="A195" s="22" t="s">
        <v>312</v>
      </c>
      <c r="B195" s="19" t="s">
        <v>26</v>
      </c>
      <c r="C195" s="19">
        <v>2</v>
      </c>
      <c r="D195" s="23" t="s">
        <v>317</v>
      </c>
      <c r="E195" s="19" t="s">
        <v>14</v>
      </c>
      <c r="F195" s="19" t="s">
        <v>15</v>
      </c>
      <c r="G195" s="19"/>
      <c r="H195" s="21"/>
      <c r="I195" s="17">
        <f t="shared" si="2"/>
        <v>0</v>
      </c>
    </row>
    <row r="196" spans="1:9" ht="16" x14ac:dyDescent="0.2">
      <c r="A196" s="22" t="s">
        <v>312</v>
      </c>
      <c r="B196" s="19" t="s">
        <v>28</v>
      </c>
      <c r="C196" s="19">
        <v>2</v>
      </c>
      <c r="D196" s="23" t="s">
        <v>318</v>
      </c>
      <c r="E196" s="19" t="s">
        <v>14</v>
      </c>
      <c r="F196" s="19" t="s">
        <v>15</v>
      </c>
      <c r="G196" s="19"/>
      <c r="H196" s="21"/>
      <c r="I196" s="17">
        <f t="shared" ref="I196:I259" si="3">IF(OR($E196="Estudado",LEFT($E196,7)="Revisão"),1,0)</f>
        <v>0</v>
      </c>
    </row>
    <row r="197" spans="1:9" ht="16" x14ac:dyDescent="0.2">
      <c r="A197" s="22" t="s">
        <v>312</v>
      </c>
      <c r="B197" s="19" t="s">
        <v>111</v>
      </c>
      <c r="C197" s="19">
        <v>2</v>
      </c>
      <c r="D197" s="23" t="s">
        <v>158</v>
      </c>
      <c r="E197" s="19" t="s">
        <v>14</v>
      </c>
      <c r="F197" s="19" t="s">
        <v>15</v>
      </c>
      <c r="G197" s="19"/>
      <c r="H197" s="21"/>
      <c r="I197" s="17">
        <f t="shared" si="3"/>
        <v>0</v>
      </c>
    </row>
    <row r="198" spans="1:9" ht="16" x14ac:dyDescent="0.2">
      <c r="A198" s="18" t="s">
        <v>312</v>
      </c>
      <c r="B198" s="19" t="s">
        <v>30</v>
      </c>
      <c r="C198" s="19">
        <v>1</v>
      </c>
      <c r="D198" s="20" t="s">
        <v>319</v>
      </c>
      <c r="E198" s="19" t="s">
        <v>14</v>
      </c>
      <c r="F198" s="19" t="s">
        <v>15</v>
      </c>
      <c r="G198" s="19"/>
      <c r="H198" s="21"/>
      <c r="I198" s="17">
        <f t="shared" si="3"/>
        <v>0</v>
      </c>
    </row>
    <row r="199" spans="1:9" ht="16" x14ac:dyDescent="0.2">
      <c r="A199" s="22" t="s">
        <v>312</v>
      </c>
      <c r="B199" s="19" t="s">
        <v>32</v>
      </c>
      <c r="C199" s="19">
        <v>2</v>
      </c>
      <c r="D199" s="23" t="s">
        <v>86</v>
      </c>
      <c r="E199" s="19" t="s">
        <v>14</v>
      </c>
      <c r="F199" s="19" t="s">
        <v>15</v>
      </c>
      <c r="G199" s="19"/>
      <c r="H199" s="21"/>
      <c r="I199" s="17">
        <f t="shared" si="3"/>
        <v>0</v>
      </c>
    </row>
    <row r="200" spans="1:9" ht="16" x14ac:dyDescent="0.2">
      <c r="A200" s="22" t="s">
        <v>312</v>
      </c>
      <c r="B200" s="19" t="s">
        <v>34</v>
      </c>
      <c r="C200" s="19">
        <v>2</v>
      </c>
      <c r="D200" s="23" t="s">
        <v>320</v>
      </c>
      <c r="E200" s="19" t="s">
        <v>14</v>
      </c>
      <c r="F200" s="19" t="s">
        <v>15</v>
      </c>
      <c r="G200" s="19"/>
      <c r="H200" s="21"/>
      <c r="I200" s="17">
        <f t="shared" si="3"/>
        <v>0</v>
      </c>
    </row>
    <row r="201" spans="1:9" ht="16" x14ac:dyDescent="0.2">
      <c r="A201" s="22" t="s">
        <v>312</v>
      </c>
      <c r="B201" s="19" t="s">
        <v>36</v>
      </c>
      <c r="C201" s="19">
        <v>2</v>
      </c>
      <c r="D201" s="23" t="s">
        <v>321</v>
      </c>
      <c r="E201" s="19" t="s">
        <v>14</v>
      </c>
      <c r="F201" s="19" t="s">
        <v>15</v>
      </c>
      <c r="G201" s="19"/>
      <c r="H201" s="21"/>
      <c r="I201" s="17">
        <f t="shared" si="3"/>
        <v>0</v>
      </c>
    </row>
    <row r="202" spans="1:9" ht="16" x14ac:dyDescent="0.2">
      <c r="A202" s="18" t="s">
        <v>312</v>
      </c>
      <c r="B202" s="19" t="s">
        <v>44</v>
      </c>
      <c r="C202" s="19">
        <v>1</v>
      </c>
      <c r="D202" s="20" t="s">
        <v>322</v>
      </c>
      <c r="E202" s="19" t="s">
        <v>14</v>
      </c>
      <c r="F202" s="19" t="s">
        <v>15</v>
      </c>
      <c r="G202" s="19"/>
      <c r="H202" s="21"/>
      <c r="I202" s="17">
        <f t="shared" si="3"/>
        <v>0</v>
      </c>
    </row>
    <row r="203" spans="1:9" ht="16" x14ac:dyDescent="0.2">
      <c r="A203" s="22" t="s">
        <v>312</v>
      </c>
      <c r="B203" s="19" t="s">
        <v>46</v>
      </c>
      <c r="C203" s="19">
        <v>2</v>
      </c>
      <c r="D203" s="23" t="s">
        <v>86</v>
      </c>
      <c r="E203" s="19" t="s">
        <v>14</v>
      </c>
      <c r="F203" s="19" t="s">
        <v>15</v>
      </c>
      <c r="G203" s="19"/>
      <c r="H203" s="21"/>
      <c r="I203" s="17">
        <f t="shared" si="3"/>
        <v>0</v>
      </c>
    </row>
    <row r="204" spans="1:9" ht="16" x14ac:dyDescent="0.2">
      <c r="A204" s="22" t="s">
        <v>312</v>
      </c>
      <c r="B204" s="19" t="s">
        <v>48</v>
      </c>
      <c r="C204" s="19">
        <v>2</v>
      </c>
      <c r="D204" s="23" t="s">
        <v>323</v>
      </c>
      <c r="E204" s="19" t="s">
        <v>14</v>
      </c>
      <c r="F204" s="19" t="s">
        <v>15</v>
      </c>
      <c r="G204" s="19"/>
      <c r="H204" s="21"/>
      <c r="I204" s="17">
        <f t="shared" si="3"/>
        <v>0</v>
      </c>
    </row>
    <row r="205" spans="1:9" ht="16" x14ac:dyDescent="0.2">
      <c r="A205" s="22" t="s">
        <v>312</v>
      </c>
      <c r="B205" s="19" t="s">
        <v>290</v>
      </c>
      <c r="C205" s="19">
        <v>2</v>
      </c>
      <c r="D205" s="23" t="s">
        <v>324</v>
      </c>
      <c r="E205" s="19" t="s">
        <v>14</v>
      </c>
      <c r="F205" s="19" t="s">
        <v>15</v>
      </c>
      <c r="G205" s="19"/>
      <c r="H205" s="21"/>
      <c r="I205" s="17">
        <f t="shared" si="3"/>
        <v>0</v>
      </c>
    </row>
    <row r="206" spans="1:9" ht="16" x14ac:dyDescent="0.2">
      <c r="A206" s="18" t="s">
        <v>312</v>
      </c>
      <c r="B206" s="19" t="s">
        <v>73</v>
      </c>
      <c r="C206" s="19">
        <v>1</v>
      </c>
      <c r="D206" s="20" t="s">
        <v>325</v>
      </c>
      <c r="E206" s="19" t="s">
        <v>14</v>
      </c>
      <c r="F206" s="19" t="s">
        <v>15</v>
      </c>
      <c r="G206" s="19"/>
      <c r="H206" s="21"/>
      <c r="I206" s="17">
        <f t="shared" si="3"/>
        <v>0</v>
      </c>
    </row>
    <row r="207" spans="1:9" ht="16" x14ac:dyDescent="0.2">
      <c r="A207" s="18" t="s">
        <v>312</v>
      </c>
      <c r="B207" s="19" t="s">
        <v>89</v>
      </c>
      <c r="C207" s="19">
        <v>1</v>
      </c>
      <c r="D207" s="20" t="s">
        <v>326</v>
      </c>
      <c r="E207" s="19" t="s">
        <v>14</v>
      </c>
      <c r="F207" s="19" t="s">
        <v>15</v>
      </c>
      <c r="G207" s="19"/>
      <c r="H207" s="21"/>
      <c r="I207" s="17">
        <f t="shared" si="3"/>
        <v>0</v>
      </c>
    </row>
    <row r="208" spans="1:9" ht="16" x14ac:dyDescent="0.2">
      <c r="A208" s="18" t="s">
        <v>312</v>
      </c>
      <c r="B208" s="19" t="s">
        <v>161</v>
      </c>
      <c r="C208" s="19">
        <v>1</v>
      </c>
      <c r="D208" s="20" t="s">
        <v>327</v>
      </c>
      <c r="E208" s="19" t="s">
        <v>14</v>
      </c>
      <c r="F208" s="19" t="s">
        <v>15</v>
      </c>
      <c r="G208" s="19"/>
      <c r="H208" s="21"/>
      <c r="I208" s="17">
        <f t="shared" si="3"/>
        <v>0</v>
      </c>
    </row>
    <row r="209" spans="1:9" ht="16" x14ac:dyDescent="0.2">
      <c r="A209" s="22" t="s">
        <v>312</v>
      </c>
      <c r="B209" s="19" t="s">
        <v>163</v>
      </c>
      <c r="C209" s="19">
        <v>2</v>
      </c>
      <c r="D209" s="23" t="s">
        <v>328</v>
      </c>
      <c r="E209" s="19" t="s">
        <v>14</v>
      </c>
      <c r="F209" s="19" t="s">
        <v>15</v>
      </c>
      <c r="G209" s="19"/>
      <c r="H209" s="21"/>
      <c r="I209" s="17">
        <f t="shared" si="3"/>
        <v>0</v>
      </c>
    </row>
    <row r="210" spans="1:9" ht="16" x14ac:dyDescent="0.2">
      <c r="A210" s="22" t="s">
        <v>312</v>
      </c>
      <c r="B210" s="19" t="s">
        <v>165</v>
      </c>
      <c r="C210" s="19">
        <v>2</v>
      </c>
      <c r="D210" s="23" t="s">
        <v>329</v>
      </c>
      <c r="E210" s="19" t="s">
        <v>14</v>
      </c>
      <c r="F210" s="19" t="s">
        <v>15</v>
      </c>
      <c r="G210" s="19"/>
      <c r="H210" s="21"/>
      <c r="I210" s="17">
        <f t="shared" si="3"/>
        <v>0</v>
      </c>
    </row>
    <row r="211" spans="1:9" ht="16" x14ac:dyDescent="0.2">
      <c r="A211" s="22" t="s">
        <v>312</v>
      </c>
      <c r="B211" s="19" t="s">
        <v>330</v>
      </c>
      <c r="C211" s="19">
        <v>2</v>
      </c>
      <c r="D211" s="23" t="s">
        <v>331</v>
      </c>
      <c r="E211" s="19" t="s">
        <v>14</v>
      </c>
      <c r="F211" s="19" t="s">
        <v>15</v>
      </c>
      <c r="G211" s="19"/>
      <c r="H211" s="21"/>
      <c r="I211" s="17">
        <f t="shared" si="3"/>
        <v>0</v>
      </c>
    </row>
    <row r="212" spans="1:9" ht="16" x14ac:dyDescent="0.2">
      <c r="A212" s="22" t="s">
        <v>312</v>
      </c>
      <c r="B212" s="19" t="s">
        <v>332</v>
      </c>
      <c r="C212" s="19">
        <v>2</v>
      </c>
      <c r="D212" s="23" t="s">
        <v>333</v>
      </c>
      <c r="E212" s="19" t="s">
        <v>14</v>
      </c>
      <c r="F212" s="19" t="s">
        <v>15</v>
      </c>
      <c r="G212" s="19"/>
      <c r="H212" s="21"/>
      <c r="I212" s="17">
        <f t="shared" si="3"/>
        <v>0</v>
      </c>
    </row>
    <row r="213" spans="1:9" ht="16" x14ac:dyDescent="0.2">
      <c r="A213" s="22" t="s">
        <v>312</v>
      </c>
      <c r="B213" s="19" t="s">
        <v>334</v>
      </c>
      <c r="C213" s="19">
        <v>2</v>
      </c>
      <c r="D213" s="23" t="s">
        <v>335</v>
      </c>
      <c r="E213" s="19" t="s">
        <v>14</v>
      </c>
      <c r="F213" s="19" t="s">
        <v>15</v>
      </c>
      <c r="G213" s="19"/>
      <c r="H213" s="21"/>
      <c r="I213" s="17">
        <f t="shared" si="3"/>
        <v>0</v>
      </c>
    </row>
    <row r="214" spans="1:9" ht="16" x14ac:dyDescent="0.2">
      <c r="A214" s="18" t="s">
        <v>312</v>
      </c>
      <c r="B214" s="19" t="s">
        <v>169</v>
      </c>
      <c r="C214" s="19">
        <v>1</v>
      </c>
      <c r="D214" s="20" t="s">
        <v>336</v>
      </c>
      <c r="E214" s="19" t="s">
        <v>14</v>
      </c>
      <c r="F214" s="19" t="s">
        <v>15</v>
      </c>
      <c r="G214" s="19"/>
      <c r="H214" s="21"/>
      <c r="I214" s="17">
        <f t="shared" si="3"/>
        <v>0</v>
      </c>
    </row>
    <row r="215" spans="1:9" ht="16" x14ac:dyDescent="0.2">
      <c r="A215" s="18" t="s">
        <v>312</v>
      </c>
      <c r="B215" s="19" t="s">
        <v>179</v>
      </c>
      <c r="C215" s="19">
        <v>1</v>
      </c>
      <c r="D215" s="20" t="s">
        <v>337</v>
      </c>
      <c r="E215" s="19" t="s">
        <v>14</v>
      </c>
      <c r="F215" s="19" t="s">
        <v>15</v>
      </c>
      <c r="G215" s="19"/>
      <c r="H215" s="21"/>
      <c r="I215" s="17">
        <f t="shared" si="3"/>
        <v>0</v>
      </c>
    </row>
    <row r="216" spans="1:9" ht="16" x14ac:dyDescent="0.2">
      <c r="A216" s="22" t="s">
        <v>312</v>
      </c>
      <c r="B216" s="19" t="s">
        <v>338</v>
      </c>
      <c r="C216" s="19">
        <v>2</v>
      </c>
      <c r="D216" s="23" t="s">
        <v>339</v>
      </c>
      <c r="E216" s="19" t="s">
        <v>14</v>
      </c>
      <c r="F216" s="19" t="s">
        <v>15</v>
      </c>
      <c r="G216" s="19"/>
      <c r="H216" s="21"/>
      <c r="I216" s="17">
        <f t="shared" si="3"/>
        <v>0</v>
      </c>
    </row>
    <row r="217" spans="1:9" ht="16" x14ac:dyDescent="0.2">
      <c r="A217" s="22" t="s">
        <v>312</v>
      </c>
      <c r="B217" s="19" t="s">
        <v>340</v>
      </c>
      <c r="C217" s="19">
        <v>2</v>
      </c>
      <c r="D217" s="23" t="s">
        <v>341</v>
      </c>
      <c r="E217" s="19" t="s">
        <v>14</v>
      </c>
      <c r="F217" s="19" t="s">
        <v>15</v>
      </c>
      <c r="G217" s="19"/>
      <c r="H217" s="21"/>
      <c r="I217" s="17">
        <f t="shared" si="3"/>
        <v>0</v>
      </c>
    </row>
    <row r="218" spans="1:9" ht="16" x14ac:dyDescent="0.2">
      <c r="A218" s="22" t="s">
        <v>312</v>
      </c>
      <c r="B218" s="19" t="s">
        <v>342</v>
      </c>
      <c r="C218" s="19">
        <v>2</v>
      </c>
      <c r="D218" s="23" t="s">
        <v>343</v>
      </c>
      <c r="E218" s="19" t="s">
        <v>14</v>
      </c>
      <c r="F218" s="19" t="s">
        <v>15</v>
      </c>
      <c r="G218" s="19"/>
      <c r="H218" s="21"/>
      <c r="I218" s="17">
        <f t="shared" si="3"/>
        <v>0</v>
      </c>
    </row>
    <row r="219" spans="1:9" ht="16" x14ac:dyDescent="0.2">
      <c r="A219" s="18" t="s">
        <v>312</v>
      </c>
      <c r="B219" s="19" t="s">
        <v>181</v>
      </c>
      <c r="C219" s="19">
        <v>1</v>
      </c>
      <c r="D219" s="20" t="s">
        <v>344</v>
      </c>
      <c r="E219" s="19" t="s">
        <v>14</v>
      </c>
      <c r="F219" s="19" t="s">
        <v>15</v>
      </c>
      <c r="G219" s="19"/>
      <c r="H219" s="21"/>
      <c r="I219" s="17">
        <f t="shared" si="3"/>
        <v>0</v>
      </c>
    </row>
    <row r="220" spans="1:9" ht="16" x14ac:dyDescent="0.2">
      <c r="A220" s="18" t="s">
        <v>312</v>
      </c>
      <c r="B220" s="19" t="s">
        <v>345</v>
      </c>
      <c r="C220" s="19">
        <v>1</v>
      </c>
      <c r="D220" s="20" t="s">
        <v>346</v>
      </c>
      <c r="E220" s="19" t="s">
        <v>14</v>
      </c>
      <c r="F220" s="19" t="s">
        <v>15</v>
      </c>
      <c r="G220" s="19"/>
      <c r="H220" s="21"/>
      <c r="I220" s="17">
        <f t="shared" si="3"/>
        <v>0</v>
      </c>
    </row>
    <row r="221" spans="1:9" ht="16" x14ac:dyDescent="0.2">
      <c r="A221" s="18" t="s">
        <v>312</v>
      </c>
      <c r="B221" s="19" t="s">
        <v>347</v>
      </c>
      <c r="C221" s="19">
        <v>1</v>
      </c>
      <c r="D221" s="20" t="s">
        <v>348</v>
      </c>
      <c r="E221" s="19" t="s">
        <v>14</v>
      </c>
      <c r="F221" s="19" t="s">
        <v>15</v>
      </c>
      <c r="G221" s="19"/>
      <c r="H221" s="21"/>
      <c r="I221" s="17">
        <f t="shared" si="3"/>
        <v>0</v>
      </c>
    </row>
    <row r="222" spans="1:9" ht="16" x14ac:dyDescent="0.2">
      <c r="A222" s="18" t="s">
        <v>312</v>
      </c>
      <c r="B222" s="19" t="s">
        <v>349</v>
      </c>
      <c r="C222" s="19">
        <v>1</v>
      </c>
      <c r="D222" s="20" t="s">
        <v>350</v>
      </c>
      <c r="E222" s="19" t="s">
        <v>14</v>
      </c>
      <c r="F222" s="19" t="s">
        <v>15</v>
      </c>
      <c r="G222" s="19"/>
      <c r="H222" s="21"/>
      <c r="I222" s="17">
        <f t="shared" si="3"/>
        <v>0</v>
      </c>
    </row>
    <row r="223" spans="1:9" ht="16" x14ac:dyDescent="0.2">
      <c r="A223" s="22" t="s">
        <v>312</v>
      </c>
      <c r="B223" s="19" t="s">
        <v>351</v>
      </c>
      <c r="C223" s="19">
        <v>2</v>
      </c>
      <c r="D223" s="23" t="s">
        <v>352</v>
      </c>
      <c r="E223" s="19" t="s">
        <v>14</v>
      </c>
      <c r="F223" s="19" t="s">
        <v>15</v>
      </c>
      <c r="G223" s="19"/>
      <c r="H223" s="21"/>
      <c r="I223" s="17">
        <f t="shared" si="3"/>
        <v>0</v>
      </c>
    </row>
    <row r="224" spans="1:9" ht="16" x14ac:dyDescent="0.2">
      <c r="A224" s="22" t="s">
        <v>312</v>
      </c>
      <c r="B224" s="19" t="s">
        <v>353</v>
      </c>
      <c r="C224" s="19">
        <v>2</v>
      </c>
      <c r="D224" s="23" t="s">
        <v>354</v>
      </c>
      <c r="E224" s="19" t="s">
        <v>14</v>
      </c>
      <c r="F224" s="19" t="s">
        <v>15</v>
      </c>
      <c r="G224" s="19"/>
      <c r="H224" s="21"/>
      <c r="I224" s="17">
        <f t="shared" si="3"/>
        <v>0</v>
      </c>
    </row>
    <row r="225" spans="1:9" ht="16" x14ac:dyDescent="0.2">
      <c r="A225" s="22" t="s">
        <v>312</v>
      </c>
      <c r="B225" s="19" t="s">
        <v>355</v>
      </c>
      <c r="C225" s="19">
        <v>2</v>
      </c>
      <c r="D225" s="23" t="s">
        <v>356</v>
      </c>
      <c r="E225" s="19" t="s">
        <v>14</v>
      </c>
      <c r="F225" s="19" t="s">
        <v>15</v>
      </c>
      <c r="G225" s="19"/>
      <c r="H225" s="21"/>
      <c r="I225" s="17">
        <f t="shared" si="3"/>
        <v>0</v>
      </c>
    </row>
    <row r="226" spans="1:9" ht="16" x14ac:dyDescent="0.2">
      <c r="A226" s="22" t="s">
        <v>312</v>
      </c>
      <c r="B226" s="19" t="s">
        <v>357</v>
      </c>
      <c r="C226" s="19">
        <v>2</v>
      </c>
      <c r="D226" s="23" t="s">
        <v>358</v>
      </c>
      <c r="E226" s="19" t="s">
        <v>14</v>
      </c>
      <c r="F226" s="19" t="s">
        <v>15</v>
      </c>
      <c r="G226" s="19"/>
      <c r="H226" s="21"/>
      <c r="I226" s="17">
        <f t="shared" si="3"/>
        <v>0</v>
      </c>
    </row>
    <row r="227" spans="1:9" ht="16" x14ac:dyDescent="0.2">
      <c r="A227" s="22" t="s">
        <v>312</v>
      </c>
      <c r="B227" s="19" t="s">
        <v>359</v>
      </c>
      <c r="C227" s="19">
        <v>2</v>
      </c>
      <c r="D227" s="23" t="s">
        <v>360</v>
      </c>
      <c r="E227" s="19" t="s">
        <v>14</v>
      </c>
      <c r="F227" s="19" t="s">
        <v>15</v>
      </c>
      <c r="G227" s="19"/>
      <c r="H227" s="21"/>
      <c r="I227" s="17">
        <f t="shared" si="3"/>
        <v>0</v>
      </c>
    </row>
    <row r="228" spans="1:9" ht="16" x14ac:dyDescent="0.2">
      <c r="A228" s="22" t="s">
        <v>312</v>
      </c>
      <c r="B228" s="19" t="s">
        <v>361</v>
      </c>
      <c r="C228" s="19">
        <v>2</v>
      </c>
      <c r="D228" s="23" t="s">
        <v>362</v>
      </c>
      <c r="E228" s="19" t="s">
        <v>14</v>
      </c>
      <c r="F228" s="19" t="s">
        <v>15</v>
      </c>
      <c r="G228" s="19"/>
      <c r="H228" s="21"/>
      <c r="I228" s="17">
        <f t="shared" si="3"/>
        <v>0</v>
      </c>
    </row>
    <row r="229" spans="1:9" ht="16" x14ac:dyDescent="0.2">
      <c r="A229" s="22" t="s">
        <v>312</v>
      </c>
      <c r="B229" s="19" t="s">
        <v>363</v>
      </c>
      <c r="C229" s="19">
        <v>2</v>
      </c>
      <c r="D229" s="23" t="s">
        <v>364</v>
      </c>
      <c r="E229" s="19" t="s">
        <v>14</v>
      </c>
      <c r="F229" s="19" t="s">
        <v>15</v>
      </c>
      <c r="G229" s="19"/>
      <c r="H229" s="21"/>
      <c r="I229" s="17">
        <f t="shared" si="3"/>
        <v>0</v>
      </c>
    </row>
    <row r="230" spans="1:9" ht="16" x14ac:dyDescent="0.2">
      <c r="A230" s="18" t="s">
        <v>312</v>
      </c>
      <c r="B230" s="19" t="s">
        <v>365</v>
      </c>
      <c r="C230" s="19">
        <v>1</v>
      </c>
      <c r="D230" s="20" t="s">
        <v>366</v>
      </c>
      <c r="E230" s="19" t="s">
        <v>14</v>
      </c>
      <c r="F230" s="19" t="s">
        <v>15</v>
      </c>
      <c r="G230" s="19"/>
      <c r="H230" s="21"/>
      <c r="I230" s="17">
        <f t="shared" si="3"/>
        <v>0</v>
      </c>
    </row>
    <row r="231" spans="1:9" ht="16" x14ac:dyDescent="0.2">
      <c r="A231" s="22" t="s">
        <v>312</v>
      </c>
      <c r="B231" s="19" t="s">
        <v>367</v>
      </c>
      <c r="C231" s="19">
        <v>2</v>
      </c>
      <c r="D231" s="23" t="s">
        <v>368</v>
      </c>
      <c r="E231" s="19" t="s">
        <v>14</v>
      </c>
      <c r="F231" s="19" t="s">
        <v>15</v>
      </c>
      <c r="G231" s="19"/>
      <c r="H231" s="21"/>
      <c r="I231" s="17">
        <f t="shared" si="3"/>
        <v>0</v>
      </c>
    </row>
    <row r="232" spans="1:9" ht="16" x14ac:dyDescent="0.2">
      <c r="A232" s="22" t="s">
        <v>312</v>
      </c>
      <c r="B232" s="19" t="s">
        <v>369</v>
      </c>
      <c r="C232" s="19">
        <v>2</v>
      </c>
      <c r="D232" s="23" t="s">
        <v>86</v>
      </c>
      <c r="E232" s="19" t="s">
        <v>14</v>
      </c>
      <c r="F232" s="19" t="s">
        <v>15</v>
      </c>
      <c r="G232" s="19"/>
      <c r="H232" s="21"/>
      <c r="I232" s="17">
        <f t="shared" si="3"/>
        <v>0</v>
      </c>
    </row>
    <row r="233" spans="1:9" ht="16" x14ac:dyDescent="0.2">
      <c r="A233" s="18" t="s">
        <v>312</v>
      </c>
      <c r="B233" s="19" t="s">
        <v>370</v>
      </c>
      <c r="C233" s="19">
        <v>1</v>
      </c>
      <c r="D233" s="20" t="s">
        <v>371</v>
      </c>
      <c r="E233" s="19" t="s">
        <v>14</v>
      </c>
      <c r="F233" s="19" t="s">
        <v>15</v>
      </c>
      <c r="G233" s="19"/>
      <c r="H233" s="21"/>
      <c r="I233" s="17">
        <f t="shared" si="3"/>
        <v>0</v>
      </c>
    </row>
    <row r="234" spans="1:9" ht="16" x14ac:dyDescent="0.2">
      <c r="A234" s="18" t="s">
        <v>312</v>
      </c>
      <c r="B234" s="19" t="s">
        <v>372</v>
      </c>
      <c r="C234" s="19">
        <v>1</v>
      </c>
      <c r="D234" s="20" t="s">
        <v>373</v>
      </c>
      <c r="E234" s="19" t="s">
        <v>14</v>
      </c>
      <c r="F234" s="19" t="s">
        <v>15</v>
      </c>
      <c r="G234" s="19"/>
      <c r="H234" s="21"/>
      <c r="I234" s="17">
        <f t="shared" si="3"/>
        <v>0</v>
      </c>
    </row>
    <row r="235" spans="1:9" ht="16" x14ac:dyDescent="0.2">
      <c r="A235" s="22" t="s">
        <v>312</v>
      </c>
      <c r="B235" s="19" t="s">
        <v>374</v>
      </c>
      <c r="C235" s="19">
        <v>2</v>
      </c>
      <c r="D235" s="23" t="s">
        <v>375</v>
      </c>
      <c r="E235" s="19" t="s">
        <v>14</v>
      </c>
      <c r="F235" s="19" t="s">
        <v>15</v>
      </c>
      <c r="G235" s="19"/>
      <c r="H235" s="21"/>
      <c r="I235" s="17">
        <f t="shared" si="3"/>
        <v>0</v>
      </c>
    </row>
    <row r="236" spans="1:9" ht="16" x14ac:dyDescent="0.2">
      <c r="A236" s="22" t="s">
        <v>312</v>
      </c>
      <c r="B236" s="19" t="s">
        <v>376</v>
      </c>
      <c r="C236" s="19">
        <v>2</v>
      </c>
      <c r="D236" s="23" t="s">
        <v>262</v>
      </c>
      <c r="E236" s="19" t="s">
        <v>14</v>
      </c>
      <c r="F236" s="19" t="s">
        <v>15</v>
      </c>
      <c r="G236" s="19"/>
      <c r="H236" s="21"/>
      <c r="I236" s="17">
        <f t="shared" si="3"/>
        <v>0</v>
      </c>
    </row>
    <row r="237" spans="1:9" ht="16" x14ac:dyDescent="0.2">
      <c r="A237" s="22" t="s">
        <v>312</v>
      </c>
      <c r="B237" s="19" t="s">
        <v>377</v>
      </c>
      <c r="C237" s="19">
        <v>2</v>
      </c>
      <c r="D237" s="23" t="s">
        <v>378</v>
      </c>
      <c r="E237" s="19" t="s">
        <v>14</v>
      </c>
      <c r="F237" s="19" t="s">
        <v>15</v>
      </c>
      <c r="G237" s="19"/>
      <c r="H237" s="21"/>
      <c r="I237" s="17">
        <f t="shared" si="3"/>
        <v>0</v>
      </c>
    </row>
    <row r="238" spans="1:9" ht="16" x14ac:dyDescent="0.2">
      <c r="A238" s="22" t="s">
        <v>312</v>
      </c>
      <c r="B238" s="19" t="s">
        <v>379</v>
      </c>
      <c r="C238" s="19">
        <v>3</v>
      </c>
      <c r="D238" s="23" t="s">
        <v>380</v>
      </c>
      <c r="E238" s="19" t="s">
        <v>14</v>
      </c>
      <c r="F238" s="19" t="s">
        <v>15</v>
      </c>
      <c r="G238" s="19"/>
      <c r="H238" s="21"/>
      <c r="I238" s="17">
        <f t="shared" si="3"/>
        <v>0</v>
      </c>
    </row>
    <row r="239" spans="1:9" ht="16" x14ac:dyDescent="0.2">
      <c r="A239" s="22" t="s">
        <v>312</v>
      </c>
      <c r="B239" s="19" t="s">
        <v>381</v>
      </c>
      <c r="C239" s="19">
        <v>3</v>
      </c>
      <c r="D239" s="23" t="s">
        <v>382</v>
      </c>
      <c r="E239" s="19" t="s">
        <v>14</v>
      </c>
      <c r="F239" s="19" t="s">
        <v>15</v>
      </c>
      <c r="G239" s="19"/>
      <c r="H239" s="21"/>
      <c r="I239" s="17">
        <f t="shared" si="3"/>
        <v>0</v>
      </c>
    </row>
    <row r="240" spans="1:9" ht="16" x14ac:dyDescent="0.2">
      <c r="A240" s="22" t="s">
        <v>312</v>
      </c>
      <c r="B240" s="19" t="s">
        <v>383</v>
      </c>
      <c r="C240" s="19">
        <v>3</v>
      </c>
      <c r="D240" s="23" t="s">
        <v>384</v>
      </c>
      <c r="E240" s="19" t="s">
        <v>14</v>
      </c>
      <c r="F240" s="19" t="s">
        <v>15</v>
      </c>
      <c r="G240" s="19"/>
      <c r="H240" s="21"/>
      <c r="I240" s="17">
        <f t="shared" si="3"/>
        <v>0</v>
      </c>
    </row>
    <row r="241" spans="1:9" ht="16" x14ac:dyDescent="0.2">
      <c r="A241" s="22" t="s">
        <v>312</v>
      </c>
      <c r="B241" s="19" t="s">
        <v>385</v>
      </c>
      <c r="C241" s="19">
        <v>2</v>
      </c>
      <c r="D241" s="23" t="s">
        <v>386</v>
      </c>
      <c r="E241" s="19" t="s">
        <v>14</v>
      </c>
      <c r="F241" s="19" t="s">
        <v>15</v>
      </c>
      <c r="G241" s="19"/>
      <c r="H241" s="21"/>
      <c r="I241" s="17">
        <f t="shared" si="3"/>
        <v>0</v>
      </c>
    </row>
    <row r="242" spans="1:9" ht="16" x14ac:dyDescent="0.2">
      <c r="A242" s="22" t="s">
        <v>312</v>
      </c>
      <c r="B242" s="19" t="s">
        <v>387</v>
      </c>
      <c r="C242" s="19">
        <v>2</v>
      </c>
      <c r="D242" s="23" t="s">
        <v>388</v>
      </c>
      <c r="E242" s="19" t="s">
        <v>14</v>
      </c>
      <c r="F242" s="19" t="s">
        <v>15</v>
      </c>
      <c r="G242" s="19"/>
      <c r="H242" s="21"/>
      <c r="I242" s="17">
        <f t="shared" si="3"/>
        <v>0</v>
      </c>
    </row>
    <row r="243" spans="1:9" ht="16" x14ac:dyDescent="0.2">
      <c r="A243" s="22" t="s">
        <v>312</v>
      </c>
      <c r="B243" s="19" t="s">
        <v>389</v>
      </c>
      <c r="C243" s="19">
        <v>2</v>
      </c>
      <c r="D243" s="23" t="s">
        <v>390</v>
      </c>
      <c r="E243" s="19" t="s">
        <v>14</v>
      </c>
      <c r="F243" s="19" t="s">
        <v>15</v>
      </c>
      <c r="G243" s="19"/>
      <c r="H243" s="21"/>
      <c r="I243" s="17">
        <f t="shared" si="3"/>
        <v>0</v>
      </c>
    </row>
    <row r="244" spans="1:9" ht="16" x14ac:dyDescent="0.2">
      <c r="A244" s="22" t="s">
        <v>312</v>
      </c>
      <c r="B244" s="19" t="s">
        <v>391</v>
      </c>
      <c r="C244" s="19">
        <v>2</v>
      </c>
      <c r="D244" s="23" t="s">
        <v>392</v>
      </c>
      <c r="E244" s="19" t="s">
        <v>14</v>
      </c>
      <c r="F244" s="19" t="s">
        <v>15</v>
      </c>
      <c r="G244" s="19"/>
      <c r="H244" s="21"/>
      <c r="I244" s="17">
        <f t="shared" si="3"/>
        <v>0</v>
      </c>
    </row>
    <row r="245" spans="1:9" ht="16" x14ac:dyDescent="0.2">
      <c r="A245" s="22" t="s">
        <v>312</v>
      </c>
      <c r="B245" s="19" t="s">
        <v>393</v>
      </c>
      <c r="C245" s="19">
        <v>2</v>
      </c>
      <c r="D245" s="23" t="s">
        <v>394</v>
      </c>
      <c r="E245" s="19" t="s">
        <v>14</v>
      </c>
      <c r="F245" s="19" t="s">
        <v>15</v>
      </c>
      <c r="G245" s="19"/>
      <c r="H245" s="21"/>
      <c r="I245" s="17">
        <f t="shared" si="3"/>
        <v>0</v>
      </c>
    </row>
    <row r="246" spans="1:9" ht="16" x14ac:dyDescent="0.2">
      <c r="A246" s="22" t="s">
        <v>312</v>
      </c>
      <c r="B246" s="19" t="s">
        <v>395</v>
      </c>
      <c r="C246" s="19">
        <v>2</v>
      </c>
      <c r="D246" s="23" t="s">
        <v>396</v>
      </c>
      <c r="E246" s="19" t="s">
        <v>14</v>
      </c>
      <c r="F246" s="19" t="s">
        <v>15</v>
      </c>
      <c r="G246" s="19"/>
      <c r="H246" s="21"/>
      <c r="I246" s="17">
        <f t="shared" si="3"/>
        <v>0</v>
      </c>
    </row>
    <row r="247" spans="1:9" ht="16" x14ac:dyDescent="0.2">
      <c r="A247" s="22" t="s">
        <v>312</v>
      </c>
      <c r="B247" s="19" t="s">
        <v>397</v>
      </c>
      <c r="C247" s="19">
        <v>2</v>
      </c>
      <c r="D247" s="23" t="s">
        <v>398</v>
      </c>
      <c r="E247" s="19" t="s">
        <v>14</v>
      </c>
      <c r="F247" s="19" t="s">
        <v>15</v>
      </c>
      <c r="G247" s="19"/>
      <c r="H247" s="21"/>
      <c r="I247" s="17">
        <f t="shared" si="3"/>
        <v>0</v>
      </c>
    </row>
    <row r="248" spans="1:9" ht="16" x14ac:dyDescent="0.2">
      <c r="A248" s="22" t="s">
        <v>312</v>
      </c>
      <c r="B248" s="19" t="s">
        <v>399</v>
      </c>
      <c r="C248" s="19">
        <v>2</v>
      </c>
      <c r="D248" s="23" t="s">
        <v>400</v>
      </c>
      <c r="E248" s="19" t="s">
        <v>14</v>
      </c>
      <c r="F248" s="19" t="s">
        <v>15</v>
      </c>
      <c r="G248" s="19"/>
      <c r="H248" s="21"/>
      <c r="I248" s="17">
        <f t="shared" si="3"/>
        <v>0</v>
      </c>
    </row>
    <row r="249" spans="1:9" ht="16" x14ac:dyDescent="0.2">
      <c r="A249" s="22" t="s">
        <v>312</v>
      </c>
      <c r="B249" s="19" t="s">
        <v>401</v>
      </c>
      <c r="C249" s="19">
        <v>2</v>
      </c>
      <c r="D249" s="23" t="s">
        <v>402</v>
      </c>
      <c r="E249" s="19" t="s">
        <v>14</v>
      </c>
      <c r="F249" s="19" t="s">
        <v>15</v>
      </c>
      <c r="G249" s="19"/>
      <c r="H249" s="21"/>
      <c r="I249" s="17">
        <f t="shared" si="3"/>
        <v>0</v>
      </c>
    </row>
    <row r="250" spans="1:9" ht="16" x14ac:dyDescent="0.2">
      <c r="A250" s="22" t="s">
        <v>312</v>
      </c>
      <c r="B250" s="19" t="s">
        <v>403</v>
      </c>
      <c r="C250" s="19">
        <v>2</v>
      </c>
      <c r="D250" s="23" t="s">
        <v>404</v>
      </c>
      <c r="E250" s="19" t="s">
        <v>14</v>
      </c>
      <c r="F250" s="19" t="s">
        <v>15</v>
      </c>
      <c r="G250" s="19"/>
      <c r="H250" s="21"/>
      <c r="I250" s="17">
        <f t="shared" si="3"/>
        <v>0</v>
      </c>
    </row>
    <row r="251" spans="1:9" ht="16" x14ac:dyDescent="0.2">
      <c r="A251" s="18" t="s">
        <v>312</v>
      </c>
      <c r="B251" s="19" t="s">
        <v>405</v>
      </c>
      <c r="C251" s="19">
        <v>1</v>
      </c>
      <c r="D251" s="20" t="s">
        <v>406</v>
      </c>
      <c r="E251" s="19" t="s">
        <v>14</v>
      </c>
      <c r="F251" s="19" t="s">
        <v>15</v>
      </c>
      <c r="G251" s="19"/>
      <c r="H251" s="21"/>
      <c r="I251" s="17">
        <f t="shared" si="3"/>
        <v>0</v>
      </c>
    </row>
    <row r="252" spans="1:9" ht="16" x14ac:dyDescent="0.2">
      <c r="A252" s="22" t="s">
        <v>312</v>
      </c>
      <c r="B252" s="19" t="s">
        <v>407</v>
      </c>
      <c r="C252" s="19">
        <v>2</v>
      </c>
      <c r="D252" s="23" t="s">
        <v>408</v>
      </c>
      <c r="E252" s="19" t="s">
        <v>14</v>
      </c>
      <c r="F252" s="19" t="s">
        <v>15</v>
      </c>
      <c r="G252" s="19"/>
      <c r="H252" s="21"/>
      <c r="I252" s="17">
        <f t="shared" si="3"/>
        <v>0</v>
      </c>
    </row>
    <row r="253" spans="1:9" ht="16" x14ac:dyDescent="0.2">
      <c r="A253" s="22" t="s">
        <v>312</v>
      </c>
      <c r="B253" s="19" t="s">
        <v>409</v>
      </c>
      <c r="C253" s="19">
        <v>2</v>
      </c>
      <c r="D253" s="23" t="s">
        <v>86</v>
      </c>
      <c r="E253" s="19" t="s">
        <v>14</v>
      </c>
      <c r="F253" s="19" t="s">
        <v>15</v>
      </c>
      <c r="G253" s="19"/>
      <c r="H253" s="21"/>
      <c r="I253" s="17">
        <f t="shared" si="3"/>
        <v>0</v>
      </c>
    </row>
    <row r="254" spans="1:9" ht="16" x14ac:dyDescent="0.2">
      <c r="A254" s="22" t="s">
        <v>312</v>
      </c>
      <c r="B254" s="19" t="s">
        <v>410</v>
      </c>
      <c r="C254" s="19">
        <v>2</v>
      </c>
      <c r="D254" s="23" t="s">
        <v>411</v>
      </c>
      <c r="E254" s="19" t="s">
        <v>14</v>
      </c>
      <c r="F254" s="19" t="s">
        <v>15</v>
      </c>
      <c r="G254" s="19"/>
      <c r="H254" s="21"/>
      <c r="I254" s="17">
        <f t="shared" si="3"/>
        <v>0</v>
      </c>
    </row>
    <row r="255" spans="1:9" ht="16" x14ac:dyDescent="0.2">
      <c r="A255" s="22" t="s">
        <v>312</v>
      </c>
      <c r="B255" s="19" t="s">
        <v>412</v>
      </c>
      <c r="C255" s="19">
        <v>2</v>
      </c>
      <c r="D255" s="23" t="s">
        <v>413</v>
      </c>
      <c r="E255" s="19" t="s">
        <v>14</v>
      </c>
      <c r="F255" s="19" t="s">
        <v>15</v>
      </c>
      <c r="G255" s="19"/>
      <c r="H255" s="21"/>
      <c r="I255" s="17">
        <f t="shared" si="3"/>
        <v>0</v>
      </c>
    </row>
    <row r="256" spans="1:9" ht="16" x14ac:dyDescent="0.2">
      <c r="A256" s="22" t="s">
        <v>312</v>
      </c>
      <c r="B256" s="19" t="s">
        <v>414</v>
      </c>
      <c r="C256" s="19">
        <v>2</v>
      </c>
      <c r="D256" s="23" t="s">
        <v>415</v>
      </c>
      <c r="E256" s="19" t="s">
        <v>14</v>
      </c>
      <c r="F256" s="19" t="s">
        <v>15</v>
      </c>
      <c r="G256" s="19"/>
      <c r="H256" s="21"/>
      <c r="I256" s="17">
        <f t="shared" si="3"/>
        <v>0</v>
      </c>
    </row>
    <row r="257" spans="1:9" ht="16" x14ac:dyDescent="0.2">
      <c r="A257" s="22" t="s">
        <v>312</v>
      </c>
      <c r="B257" s="19" t="s">
        <v>416</v>
      </c>
      <c r="C257" s="19">
        <v>2</v>
      </c>
      <c r="D257" s="23" t="s">
        <v>417</v>
      </c>
      <c r="E257" s="19" t="s">
        <v>14</v>
      </c>
      <c r="F257" s="19" t="s">
        <v>15</v>
      </c>
      <c r="G257" s="19"/>
      <c r="H257" s="21"/>
      <c r="I257" s="17">
        <f t="shared" si="3"/>
        <v>0</v>
      </c>
    </row>
    <row r="258" spans="1:9" ht="16" x14ac:dyDescent="0.2">
      <c r="A258" s="18" t="s">
        <v>312</v>
      </c>
      <c r="B258" s="19" t="s">
        <v>418</v>
      </c>
      <c r="C258" s="19">
        <v>1</v>
      </c>
      <c r="D258" s="20" t="s">
        <v>419</v>
      </c>
      <c r="E258" s="19" t="s">
        <v>14</v>
      </c>
      <c r="F258" s="19" t="s">
        <v>15</v>
      </c>
      <c r="G258" s="19"/>
      <c r="H258" s="21"/>
      <c r="I258" s="17">
        <f t="shared" si="3"/>
        <v>0</v>
      </c>
    </row>
    <row r="259" spans="1:9" ht="16" x14ac:dyDescent="0.2">
      <c r="A259" s="18" t="s">
        <v>312</v>
      </c>
      <c r="B259" s="19" t="s">
        <v>420</v>
      </c>
      <c r="C259" s="19">
        <v>1</v>
      </c>
      <c r="D259" s="20" t="s">
        <v>421</v>
      </c>
      <c r="E259" s="19" t="s">
        <v>14</v>
      </c>
      <c r="F259" s="19" t="s">
        <v>15</v>
      </c>
      <c r="G259" s="19"/>
      <c r="H259" s="21"/>
      <c r="I259" s="17">
        <f t="shared" si="3"/>
        <v>0</v>
      </c>
    </row>
    <row r="260" spans="1:9" ht="16" x14ac:dyDescent="0.2">
      <c r="A260" s="18" t="s">
        <v>312</v>
      </c>
      <c r="B260" s="19" t="s">
        <v>422</v>
      </c>
      <c r="C260" s="19">
        <v>1</v>
      </c>
      <c r="D260" s="20" t="s">
        <v>423</v>
      </c>
      <c r="E260" s="19" t="s">
        <v>14</v>
      </c>
      <c r="F260" s="19" t="s">
        <v>15</v>
      </c>
      <c r="G260" s="19"/>
      <c r="H260" s="21"/>
      <c r="I260" s="17">
        <f t="shared" ref="I260:I323" si="4">IF(OR($E260="Estudado",LEFT($E260,7)="Revisão"),1,0)</f>
        <v>0</v>
      </c>
    </row>
    <row r="261" spans="1:9" ht="16" x14ac:dyDescent="0.2">
      <c r="A261" s="18" t="s">
        <v>312</v>
      </c>
      <c r="B261" s="19" t="s">
        <v>424</v>
      </c>
      <c r="C261" s="19">
        <v>1</v>
      </c>
      <c r="D261" s="20" t="s">
        <v>425</v>
      </c>
      <c r="E261" s="19" t="s">
        <v>14</v>
      </c>
      <c r="F261" s="19" t="s">
        <v>15</v>
      </c>
      <c r="G261" s="19"/>
      <c r="H261" s="21"/>
      <c r="I261" s="17">
        <f t="shared" si="4"/>
        <v>0</v>
      </c>
    </row>
    <row r="262" spans="1:9" ht="16" x14ac:dyDescent="0.2">
      <c r="A262" s="18" t="s">
        <v>312</v>
      </c>
      <c r="B262" s="19" t="s">
        <v>426</v>
      </c>
      <c r="C262" s="19">
        <v>1</v>
      </c>
      <c r="D262" s="20" t="s">
        <v>427</v>
      </c>
      <c r="E262" s="19" t="s">
        <v>14</v>
      </c>
      <c r="F262" s="19" t="s">
        <v>15</v>
      </c>
      <c r="G262" s="19"/>
      <c r="H262" s="21"/>
      <c r="I262" s="17">
        <f t="shared" si="4"/>
        <v>0</v>
      </c>
    </row>
    <row r="263" spans="1:9" ht="16" x14ac:dyDescent="0.2">
      <c r="A263" s="2" t="s">
        <v>428</v>
      </c>
      <c r="B263" s="3" t="s">
        <v>12</v>
      </c>
      <c r="C263" s="3">
        <v>1</v>
      </c>
      <c r="D263" s="4" t="s">
        <v>429</v>
      </c>
      <c r="E263" s="3" t="s">
        <v>14</v>
      </c>
      <c r="F263" s="3" t="s">
        <v>15</v>
      </c>
      <c r="G263" s="3"/>
      <c r="H263" s="5"/>
      <c r="I263" s="6">
        <f t="shared" si="4"/>
        <v>0</v>
      </c>
    </row>
    <row r="264" spans="1:9" ht="16" x14ac:dyDescent="0.2">
      <c r="A264" s="7" t="s">
        <v>428</v>
      </c>
      <c r="B264" s="8" t="s">
        <v>16</v>
      </c>
      <c r="C264" s="8">
        <v>1</v>
      </c>
      <c r="D264" s="9" t="s">
        <v>430</v>
      </c>
      <c r="E264" s="8" t="s">
        <v>14</v>
      </c>
      <c r="F264" s="8" t="s">
        <v>15</v>
      </c>
      <c r="G264" s="8"/>
      <c r="H264" s="10"/>
      <c r="I264" s="6">
        <f t="shared" si="4"/>
        <v>0</v>
      </c>
    </row>
    <row r="265" spans="1:9" ht="16" x14ac:dyDescent="0.2">
      <c r="A265" s="11" t="s">
        <v>428</v>
      </c>
      <c r="B265" s="8" t="s">
        <v>96</v>
      </c>
      <c r="C265" s="8">
        <v>2</v>
      </c>
      <c r="D265" s="12" t="s">
        <v>431</v>
      </c>
      <c r="E265" s="8" t="s">
        <v>14</v>
      </c>
      <c r="F265" s="8" t="s">
        <v>15</v>
      </c>
      <c r="G265" s="8"/>
      <c r="H265" s="10"/>
      <c r="I265" s="6">
        <f t="shared" si="4"/>
        <v>0</v>
      </c>
    </row>
    <row r="266" spans="1:9" ht="16" x14ac:dyDescent="0.2">
      <c r="A266" s="11" t="s">
        <v>428</v>
      </c>
      <c r="B266" s="8" t="s">
        <v>98</v>
      </c>
      <c r="C266" s="8">
        <v>2</v>
      </c>
      <c r="D266" s="12" t="s">
        <v>432</v>
      </c>
      <c r="E266" s="8" t="s">
        <v>14</v>
      </c>
      <c r="F266" s="8" t="s">
        <v>15</v>
      </c>
      <c r="G266" s="8"/>
      <c r="H266" s="10"/>
      <c r="I266" s="6">
        <f t="shared" si="4"/>
        <v>0</v>
      </c>
    </row>
    <row r="267" spans="1:9" ht="16" x14ac:dyDescent="0.2">
      <c r="A267" s="11" t="s">
        <v>428</v>
      </c>
      <c r="B267" s="8" t="s">
        <v>100</v>
      </c>
      <c r="C267" s="8">
        <v>2</v>
      </c>
      <c r="D267" s="12" t="s">
        <v>433</v>
      </c>
      <c r="E267" s="8" t="s">
        <v>14</v>
      </c>
      <c r="F267" s="8" t="s">
        <v>15</v>
      </c>
      <c r="G267" s="8"/>
      <c r="H267" s="10"/>
      <c r="I267" s="6">
        <f t="shared" si="4"/>
        <v>0</v>
      </c>
    </row>
    <row r="268" spans="1:9" ht="16" x14ac:dyDescent="0.2">
      <c r="A268" s="11" t="s">
        <v>428</v>
      </c>
      <c r="B268" s="8" t="s">
        <v>206</v>
      </c>
      <c r="C268" s="8">
        <v>2</v>
      </c>
      <c r="D268" s="12" t="s">
        <v>434</v>
      </c>
      <c r="E268" s="8" t="s">
        <v>14</v>
      </c>
      <c r="F268" s="8" t="s">
        <v>15</v>
      </c>
      <c r="G268" s="8"/>
      <c r="H268" s="10"/>
      <c r="I268" s="6">
        <f t="shared" si="4"/>
        <v>0</v>
      </c>
    </row>
    <row r="269" spans="1:9" ht="16" x14ac:dyDescent="0.2">
      <c r="A269" s="11" t="s">
        <v>428</v>
      </c>
      <c r="B269" s="8" t="s">
        <v>220</v>
      </c>
      <c r="C269" s="8">
        <v>2</v>
      </c>
      <c r="D269" s="12" t="s">
        <v>435</v>
      </c>
      <c r="E269" s="8" t="s">
        <v>14</v>
      </c>
      <c r="F269" s="8" t="s">
        <v>15</v>
      </c>
      <c r="G269" s="8"/>
      <c r="H269" s="10"/>
      <c r="I269" s="6">
        <f t="shared" si="4"/>
        <v>0</v>
      </c>
    </row>
    <row r="270" spans="1:9" ht="16" x14ac:dyDescent="0.2">
      <c r="A270" s="11" t="s">
        <v>428</v>
      </c>
      <c r="B270" s="8" t="s">
        <v>232</v>
      </c>
      <c r="C270" s="8">
        <v>2</v>
      </c>
      <c r="D270" s="12" t="s">
        <v>436</v>
      </c>
      <c r="E270" s="8" t="s">
        <v>14</v>
      </c>
      <c r="F270" s="8" t="s">
        <v>15</v>
      </c>
      <c r="G270" s="8"/>
      <c r="H270" s="10"/>
      <c r="I270" s="6">
        <f t="shared" si="4"/>
        <v>0</v>
      </c>
    </row>
    <row r="271" spans="1:9" ht="16" x14ac:dyDescent="0.2">
      <c r="A271" s="7" t="s">
        <v>428</v>
      </c>
      <c r="B271" s="8" t="s">
        <v>18</v>
      </c>
      <c r="C271" s="8">
        <v>1</v>
      </c>
      <c r="D271" s="9" t="s">
        <v>437</v>
      </c>
      <c r="E271" s="8" t="s">
        <v>14</v>
      </c>
      <c r="F271" s="8" t="s">
        <v>15</v>
      </c>
      <c r="G271" s="8"/>
      <c r="H271" s="10"/>
      <c r="I271" s="6">
        <f t="shared" si="4"/>
        <v>0</v>
      </c>
    </row>
    <row r="272" spans="1:9" ht="16" x14ac:dyDescent="0.2">
      <c r="A272" s="7" t="s">
        <v>428</v>
      </c>
      <c r="B272" s="8" t="s">
        <v>24</v>
      </c>
      <c r="C272" s="8">
        <v>1</v>
      </c>
      <c r="D272" s="9" t="s">
        <v>438</v>
      </c>
      <c r="E272" s="8" t="s">
        <v>14</v>
      </c>
      <c r="F272" s="8" t="s">
        <v>15</v>
      </c>
      <c r="G272" s="8"/>
      <c r="H272" s="10"/>
      <c r="I272" s="6">
        <f t="shared" si="4"/>
        <v>0</v>
      </c>
    </row>
    <row r="273" spans="1:9" ht="16" x14ac:dyDescent="0.2">
      <c r="A273" s="7" t="s">
        <v>428</v>
      </c>
      <c r="B273" s="8" t="s">
        <v>30</v>
      </c>
      <c r="C273" s="8">
        <v>1</v>
      </c>
      <c r="D273" s="9" t="s">
        <v>439</v>
      </c>
      <c r="E273" s="8" t="s">
        <v>14</v>
      </c>
      <c r="F273" s="8" t="s">
        <v>15</v>
      </c>
      <c r="G273" s="8"/>
      <c r="H273" s="10"/>
      <c r="I273" s="6">
        <f t="shared" si="4"/>
        <v>0</v>
      </c>
    </row>
    <row r="274" spans="1:9" ht="16" x14ac:dyDescent="0.2">
      <c r="A274" s="7" t="s">
        <v>428</v>
      </c>
      <c r="B274" s="8" t="s">
        <v>44</v>
      </c>
      <c r="C274" s="8">
        <v>1</v>
      </c>
      <c r="D274" s="9" t="s">
        <v>440</v>
      </c>
      <c r="E274" s="8" t="s">
        <v>14</v>
      </c>
      <c r="F274" s="8" t="s">
        <v>15</v>
      </c>
      <c r="G274" s="8"/>
      <c r="H274" s="10"/>
      <c r="I274" s="6">
        <f t="shared" si="4"/>
        <v>0</v>
      </c>
    </row>
    <row r="275" spans="1:9" ht="16" x14ac:dyDescent="0.2">
      <c r="A275" s="11" t="s">
        <v>428</v>
      </c>
      <c r="B275" s="8" t="s">
        <v>46</v>
      </c>
      <c r="C275" s="8">
        <v>2</v>
      </c>
      <c r="D275" s="12" t="s">
        <v>441</v>
      </c>
      <c r="E275" s="8" t="s">
        <v>14</v>
      </c>
      <c r="F275" s="8" t="s">
        <v>15</v>
      </c>
      <c r="G275" s="8"/>
      <c r="H275" s="10"/>
      <c r="I275" s="6">
        <f t="shared" si="4"/>
        <v>0</v>
      </c>
    </row>
    <row r="276" spans="1:9" ht="16" x14ac:dyDescent="0.2">
      <c r="A276" s="11" t="s">
        <v>428</v>
      </c>
      <c r="B276" s="8" t="s">
        <v>48</v>
      </c>
      <c r="C276" s="8">
        <v>2</v>
      </c>
      <c r="D276" s="12" t="s">
        <v>442</v>
      </c>
      <c r="E276" s="8" t="s">
        <v>14</v>
      </c>
      <c r="F276" s="8" t="s">
        <v>15</v>
      </c>
      <c r="G276" s="8"/>
      <c r="H276" s="10"/>
      <c r="I276" s="6">
        <f t="shared" si="4"/>
        <v>0</v>
      </c>
    </row>
    <row r="277" spans="1:9" ht="16" x14ac:dyDescent="0.2">
      <c r="A277" s="7" t="s">
        <v>428</v>
      </c>
      <c r="B277" s="8" t="s">
        <v>73</v>
      </c>
      <c r="C277" s="8">
        <v>1</v>
      </c>
      <c r="D277" s="9" t="s">
        <v>443</v>
      </c>
      <c r="E277" s="8" t="s">
        <v>14</v>
      </c>
      <c r="F277" s="8" t="s">
        <v>15</v>
      </c>
      <c r="G277" s="8"/>
      <c r="H277" s="10"/>
      <c r="I277" s="6">
        <f t="shared" si="4"/>
        <v>0</v>
      </c>
    </row>
    <row r="278" spans="1:9" ht="16" x14ac:dyDescent="0.2">
      <c r="A278" s="7" t="s">
        <v>428</v>
      </c>
      <c r="B278" s="8" t="s">
        <v>89</v>
      </c>
      <c r="C278" s="8">
        <v>1</v>
      </c>
      <c r="D278" s="9" t="s">
        <v>444</v>
      </c>
      <c r="E278" s="8" t="s">
        <v>14</v>
      </c>
      <c r="F278" s="8" t="s">
        <v>15</v>
      </c>
      <c r="G278" s="8"/>
      <c r="H278" s="10"/>
      <c r="I278" s="6">
        <f t="shared" si="4"/>
        <v>0</v>
      </c>
    </row>
    <row r="279" spans="1:9" ht="16" x14ac:dyDescent="0.2">
      <c r="A279" s="7" t="s">
        <v>428</v>
      </c>
      <c r="B279" s="8" t="s">
        <v>161</v>
      </c>
      <c r="C279" s="8">
        <v>1</v>
      </c>
      <c r="D279" s="9" t="s">
        <v>445</v>
      </c>
      <c r="E279" s="8" t="s">
        <v>14</v>
      </c>
      <c r="F279" s="8" t="s">
        <v>15</v>
      </c>
      <c r="G279" s="8"/>
      <c r="H279" s="10"/>
      <c r="I279" s="6">
        <f t="shared" si="4"/>
        <v>0</v>
      </c>
    </row>
    <row r="280" spans="1:9" ht="16" x14ac:dyDescent="0.2">
      <c r="A280" s="7" t="s">
        <v>428</v>
      </c>
      <c r="B280" s="8" t="s">
        <v>169</v>
      </c>
      <c r="C280" s="8">
        <v>1</v>
      </c>
      <c r="D280" s="9" t="s">
        <v>446</v>
      </c>
      <c r="E280" s="8" t="s">
        <v>14</v>
      </c>
      <c r="F280" s="8" t="s">
        <v>15</v>
      </c>
      <c r="G280" s="8"/>
      <c r="H280" s="10"/>
      <c r="I280" s="6">
        <f t="shared" si="4"/>
        <v>0</v>
      </c>
    </row>
    <row r="281" spans="1:9" ht="16" x14ac:dyDescent="0.2">
      <c r="A281" s="7" t="s">
        <v>428</v>
      </c>
      <c r="B281" s="8" t="s">
        <v>179</v>
      </c>
      <c r="C281" s="8">
        <v>1</v>
      </c>
      <c r="D281" s="9" t="s">
        <v>447</v>
      </c>
      <c r="E281" s="8" t="s">
        <v>14</v>
      </c>
      <c r="F281" s="8" t="s">
        <v>15</v>
      </c>
      <c r="G281" s="8"/>
      <c r="H281" s="10"/>
      <c r="I281" s="6">
        <f t="shared" si="4"/>
        <v>0</v>
      </c>
    </row>
    <row r="282" spans="1:9" ht="16" x14ac:dyDescent="0.2">
      <c r="A282" s="7" t="s">
        <v>428</v>
      </c>
      <c r="B282" s="8" t="s">
        <v>181</v>
      </c>
      <c r="C282" s="8">
        <v>1</v>
      </c>
      <c r="D282" s="9" t="s">
        <v>448</v>
      </c>
      <c r="E282" s="8" t="s">
        <v>14</v>
      </c>
      <c r="F282" s="8" t="s">
        <v>15</v>
      </c>
      <c r="G282" s="8"/>
      <c r="H282" s="10"/>
      <c r="I282" s="6">
        <f t="shared" si="4"/>
        <v>0</v>
      </c>
    </row>
    <row r="283" spans="1:9" ht="16" x14ac:dyDescent="0.2">
      <c r="A283" s="7" t="s">
        <v>428</v>
      </c>
      <c r="B283" s="8" t="s">
        <v>345</v>
      </c>
      <c r="C283" s="8">
        <v>1</v>
      </c>
      <c r="D283" s="9" t="s">
        <v>449</v>
      </c>
      <c r="E283" s="8" t="s">
        <v>14</v>
      </c>
      <c r="F283" s="8" t="s">
        <v>15</v>
      </c>
      <c r="G283" s="8"/>
      <c r="H283" s="10"/>
      <c r="I283" s="6">
        <f t="shared" si="4"/>
        <v>0</v>
      </c>
    </row>
    <row r="284" spans="1:9" ht="16" x14ac:dyDescent="0.2">
      <c r="A284" s="7" t="s">
        <v>428</v>
      </c>
      <c r="B284" s="8" t="s">
        <v>347</v>
      </c>
      <c r="C284" s="8">
        <v>1</v>
      </c>
      <c r="D284" s="9" t="s">
        <v>450</v>
      </c>
      <c r="E284" s="8" t="s">
        <v>14</v>
      </c>
      <c r="F284" s="8" t="s">
        <v>15</v>
      </c>
      <c r="G284" s="8"/>
      <c r="H284" s="10"/>
      <c r="I284" s="6">
        <f t="shared" si="4"/>
        <v>0</v>
      </c>
    </row>
    <row r="285" spans="1:9" ht="16" x14ac:dyDescent="0.2">
      <c r="A285" s="7" t="s">
        <v>428</v>
      </c>
      <c r="B285" s="8" t="s">
        <v>349</v>
      </c>
      <c r="C285" s="8">
        <v>1</v>
      </c>
      <c r="D285" s="9" t="s">
        <v>451</v>
      </c>
      <c r="E285" s="8" t="s">
        <v>14</v>
      </c>
      <c r="F285" s="8" t="s">
        <v>15</v>
      </c>
      <c r="G285" s="8"/>
      <c r="H285" s="10"/>
      <c r="I285" s="6">
        <f t="shared" si="4"/>
        <v>0</v>
      </c>
    </row>
    <row r="286" spans="1:9" ht="16" x14ac:dyDescent="0.2">
      <c r="A286" s="7" t="s">
        <v>428</v>
      </c>
      <c r="B286" s="8" t="s">
        <v>365</v>
      </c>
      <c r="C286" s="8">
        <v>1</v>
      </c>
      <c r="D286" s="9" t="s">
        <v>452</v>
      </c>
      <c r="E286" s="8" t="s">
        <v>14</v>
      </c>
      <c r="F286" s="8" t="s">
        <v>15</v>
      </c>
      <c r="G286" s="8"/>
      <c r="H286" s="10"/>
      <c r="I286" s="6">
        <f t="shared" si="4"/>
        <v>0</v>
      </c>
    </row>
    <row r="287" spans="1:9" ht="16" x14ac:dyDescent="0.2">
      <c r="A287" s="13" t="s">
        <v>453</v>
      </c>
      <c r="B287" s="14" t="s">
        <v>12</v>
      </c>
      <c r="C287" s="14">
        <v>1</v>
      </c>
      <c r="D287" s="15" t="s">
        <v>454</v>
      </c>
      <c r="E287" s="14" t="s">
        <v>14</v>
      </c>
      <c r="F287" s="14" t="s">
        <v>15</v>
      </c>
      <c r="G287" s="14"/>
      <c r="H287" s="16"/>
      <c r="I287" s="17">
        <f t="shared" si="4"/>
        <v>0</v>
      </c>
    </row>
    <row r="288" spans="1:9" ht="16" x14ac:dyDescent="0.2">
      <c r="A288" s="18" t="s">
        <v>453</v>
      </c>
      <c r="B288" s="19" t="s">
        <v>16</v>
      </c>
      <c r="C288" s="19">
        <v>1</v>
      </c>
      <c r="D288" s="20" t="s">
        <v>455</v>
      </c>
      <c r="E288" s="19" t="s">
        <v>14</v>
      </c>
      <c r="F288" s="19" t="s">
        <v>15</v>
      </c>
      <c r="G288" s="19"/>
      <c r="H288" s="21"/>
      <c r="I288" s="17">
        <f t="shared" si="4"/>
        <v>0</v>
      </c>
    </row>
    <row r="289" spans="1:9" ht="16" x14ac:dyDescent="0.2">
      <c r="A289" s="18" t="s">
        <v>453</v>
      </c>
      <c r="B289" s="19" t="s">
        <v>18</v>
      </c>
      <c r="C289" s="19">
        <v>1</v>
      </c>
      <c r="D289" s="20" t="s">
        <v>456</v>
      </c>
      <c r="E289" s="19" t="s">
        <v>14</v>
      </c>
      <c r="F289" s="19" t="s">
        <v>15</v>
      </c>
      <c r="G289" s="19"/>
      <c r="H289" s="21"/>
      <c r="I289" s="17">
        <f t="shared" si="4"/>
        <v>0</v>
      </c>
    </row>
    <row r="290" spans="1:9" ht="16" x14ac:dyDescent="0.2">
      <c r="A290" s="22" t="s">
        <v>453</v>
      </c>
      <c r="B290" s="19" t="s">
        <v>20</v>
      </c>
      <c r="C290" s="19">
        <v>2</v>
      </c>
      <c r="D290" s="23" t="s">
        <v>457</v>
      </c>
      <c r="E290" s="19" t="s">
        <v>14</v>
      </c>
      <c r="F290" s="19" t="s">
        <v>15</v>
      </c>
      <c r="G290" s="19"/>
      <c r="H290" s="21"/>
      <c r="I290" s="17">
        <f t="shared" si="4"/>
        <v>0</v>
      </c>
    </row>
    <row r="291" spans="1:9" ht="16" x14ac:dyDescent="0.2">
      <c r="A291" s="18" t="s">
        <v>453</v>
      </c>
      <c r="B291" s="19" t="s">
        <v>24</v>
      </c>
      <c r="C291" s="19">
        <v>1</v>
      </c>
      <c r="D291" s="20" t="s">
        <v>458</v>
      </c>
      <c r="E291" s="19" t="s">
        <v>14</v>
      </c>
      <c r="F291" s="19" t="s">
        <v>15</v>
      </c>
      <c r="G291" s="19"/>
      <c r="H291" s="21"/>
      <c r="I291" s="17">
        <f t="shared" si="4"/>
        <v>0</v>
      </c>
    </row>
    <row r="292" spans="1:9" ht="16" x14ac:dyDescent="0.2">
      <c r="A292" s="22" t="s">
        <v>453</v>
      </c>
      <c r="B292" s="19" t="s">
        <v>26</v>
      </c>
      <c r="C292" s="19">
        <v>2</v>
      </c>
      <c r="D292" s="23" t="s">
        <v>459</v>
      </c>
      <c r="E292" s="19" t="s">
        <v>14</v>
      </c>
      <c r="F292" s="19" t="s">
        <v>15</v>
      </c>
      <c r="G292" s="19"/>
      <c r="H292" s="21"/>
      <c r="I292" s="17">
        <f t="shared" si="4"/>
        <v>0</v>
      </c>
    </row>
    <row r="293" spans="1:9" ht="16" x14ac:dyDescent="0.2">
      <c r="A293" s="18" t="s">
        <v>453</v>
      </c>
      <c r="B293" s="19" t="s">
        <v>30</v>
      </c>
      <c r="C293" s="19">
        <v>1</v>
      </c>
      <c r="D293" s="20" t="s">
        <v>460</v>
      </c>
      <c r="E293" s="19" t="s">
        <v>14</v>
      </c>
      <c r="F293" s="19" t="s">
        <v>15</v>
      </c>
      <c r="G293" s="19"/>
      <c r="H293" s="21"/>
      <c r="I293" s="17">
        <f t="shared" si="4"/>
        <v>0</v>
      </c>
    </row>
    <row r="294" spans="1:9" ht="16" x14ac:dyDescent="0.2">
      <c r="A294" s="22" t="s">
        <v>453</v>
      </c>
      <c r="B294" s="19" t="s">
        <v>32</v>
      </c>
      <c r="C294" s="19">
        <v>2</v>
      </c>
      <c r="D294" s="23" t="s">
        <v>461</v>
      </c>
      <c r="E294" s="19" t="s">
        <v>14</v>
      </c>
      <c r="F294" s="19" t="s">
        <v>15</v>
      </c>
      <c r="G294" s="19"/>
      <c r="H294" s="21"/>
      <c r="I294" s="17">
        <f t="shared" si="4"/>
        <v>0</v>
      </c>
    </row>
    <row r="295" spans="1:9" ht="16" x14ac:dyDescent="0.2">
      <c r="A295" s="22" t="s">
        <v>453</v>
      </c>
      <c r="B295" s="19" t="s">
        <v>34</v>
      </c>
      <c r="C295" s="19">
        <v>2</v>
      </c>
      <c r="D295" s="23" t="s">
        <v>462</v>
      </c>
      <c r="E295" s="19" t="s">
        <v>14</v>
      </c>
      <c r="F295" s="19" t="s">
        <v>15</v>
      </c>
      <c r="G295" s="19"/>
      <c r="H295" s="21"/>
      <c r="I295" s="17">
        <f t="shared" si="4"/>
        <v>0</v>
      </c>
    </row>
    <row r="296" spans="1:9" ht="16" x14ac:dyDescent="0.2">
      <c r="A296" s="22" t="s">
        <v>453</v>
      </c>
      <c r="B296" s="19" t="s">
        <v>36</v>
      </c>
      <c r="C296" s="19">
        <v>2</v>
      </c>
      <c r="D296" s="23" t="s">
        <v>463</v>
      </c>
      <c r="E296" s="19" t="s">
        <v>14</v>
      </c>
      <c r="F296" s="19" t="s">
        <v>15</v>
      </c>
      <c r="G296" s="19"/>
      <c r="H296" s="21"/>
      <c r="I296" s="17">
        <f t="shared" si="4"/>
        <v>0</v>
      </c>
    </row>
    <row r="297" spans="1:9" ht="16" x14ac:dyDescent="0.2">
      <c r="A297" s="22" t="s">
        <v>453</v>
      </c>
      <c r="B297" s="19" t="s">
        <v>38</v>
      </c>
      <c r="C297" s="19">
        <v>2</v>
      </c>
      <c r="D297" s="23" t="s">
        <v>464</v>
      </c>
      <c r="E297" s="19" t="s">
        <v>14</v>
      </c>
      <c r="F297" s="19" t="s">
        <v>15</v>
      </c>
      <c r="G297" s="19"/>
      <c r="H297" s="21"/>
      <c r="I297" s="17">
        <f t="shared" si="4"/>
        <v>0</v>
      </c>
    </row>
    <row r="298" spans="1:9" ht="16" x14ac:dyDescent="0.2">
      <c r="A298" s="22" t="s">
        <v>453</v>
      </c>
      <c r="B298" s="19" t="s">
        <v>40</v>
      </c>
      <c r="C298" s="19">
        <v>2</v>
      </c>
      <c r="D298" s="23" t="s">
        <v>465</v>
      </c>
      <c r="E298" s="19" t="s">
        <v>14</v>
      </c>
      <c r="F298" s="19" t="s">
        <v>15</v>
      </c>
      <c r="G298" s="19"/>
      <c r="H298" s="21"/>
      <c r="I298" s="17">
        <f t="shared" si="4"/>
        <v>0</v>
      </c>
    </row>
    <row r="299" spans="1:9" ht="16" x14ac:dyDescent="0.2">
      <c r="A299" s="18" t="s">
        <v>453</v>
      </c>
      <c r="B299" s="19" t="s">
        <v>44</v>
      </c>
      <c r="C299" s="19">
        <v>1</v>
      </c>
      <c r="D299" s="20" t="s">
        <v>443</v>
      </c>
      <c r="E299" s="19" t="s">
        <v>14</v>
      </c>
      <c r="F299" s="19" t="s">
        <v>15</v>
      </c>
      <c r="G299" s="19"/>
      <c r="H299" s="21"/>
      <c r="I299" s="17">
        <f t="shared" si="4"/>
        <v>0</v>
      </c>
    </row>
    <row r="300" spans="1:9" ht="16" x14ac:dyDescent="0.2">
      <c r="A300" s="18" t="s">
        <v>453</v>
      </c>
      <c r="B300" s="19" t="s">
        <v>73</v>
      </c>
      <c r="C300" s="19">
        <v>1</v>
      </c>
      <c r="D300" s="20" t="s">
        <v>466</v>
      </c>
      <c r="E300" s="19" t="s">
        <v>14</v>
      </c>
      <c r="F300" s="19" t="s">
        <v>15</v>
      </c>
      <c r="G300" s="19"/>
      <c r="H300" s="21"/>
      <c r="I300" s="17">
        <f t="shared" si="4"/>
        <v>0</v>
      </c>
    </row>
    <row r="301" spans="1:9" ht="16" x14ac:dyDescent="0.2">
      <c r="A301" s="18" t="s">
        <v>453</v>
      </c>
      <c r="B301" s="19" t="s">
        <v>89</v>
      </c>
      <c r="C301" s="19">
        <v>1</v>
      </c>
      <c r="D301" s="20" t="s">
        <v>467</v>
      </c>
      <c r="E301" s="19" t="s">
        <v>14</v>
      </c>
      <c r="F301" s="19" t="s">
        <v>15</v>
      </c>
      <c r="G301" s="19"/>
      <c r="H301" s="21"/>
      <c r="I301" s="17">
        <f t="shared" si="4"/>
        <v>0</v>
      </c>
    </row>
    <row r="302" spans="1:9" ht="16" x14ac:dyDescent="0.2">
      <c r="A302" s="18" t="s">
        <v>453</v>
      </c>
      <c r="B302" s="19" t="s">
        <v>161</v>
      </c>
      <c r="C302" s="19">
        <v>1</v>
      </c>
      <c r="D302" s="20" t="s">
        <v>468</v>
      </c>
      <c r="E302" s="19" t="s">
        <v>14</v>
      </c>
      <c r="F302" s="19" t="s">
        <v>15</v>
      </c>
      <c r="G302" s="19"/>
      <c r="H302" s="21"/>
      <c r="I302" s="17">
        <f t="shared" si="4"/>
        <v>0</v>
      </c>
    </row>
    <row r="303" spans="1:9" ht="16" x14ac:dyDescent="0.2">
      <c r="A303" s="18" t="s">
        <v>453</v>
      </c>
      <c r="B303" s="19" t="s">
        <v>169</v>
      </c>
      <c r="C303" s="19">
        <v>1</v>
      </c>
      <c r="D303" s="20" t="s">
        <v>469</v>
      </c>
      <c r="E303" s="19" t="s">
        <v>14</v>
      </c>
      <c r="F303" s="19" t="s">
        <v>15</v>
      </c>
      <c r="G303" s="19"/>
      <c r="H303" s="21"/>
      <c r="I303" s="17">
        <f t="shared" si="4"/>
        <v>0</v>
      </c>
    </row>
    <row r="304" spans="1:9" ht="32" x14ac:dyDescent="0.2">
      <c r="A304" s="18" t="s">
        <v>453</v>
      </c>
      <c r="B304" s="19" t="s">
        <v>179</v>
      </c>
      <c r="C304" s="19">
        <v>1</v>
      </c>
      <c r="D304" s="20" t="s">
        <v>470</v>
      </c>
      <c r="E304" s="19" t="s">
        <v>14</v>
      </c>
      <c r="F304" s="19" t="s">
        <v>15</v>
      </c>
      <c r="G304" s="19"/>
      <c r="H304" s="21"/>
      <c r="I304" s="17">
        <f t="shared" si="4"/>
        <v>0</v>
      </c>
    </row>
    <row r="305" spans="1:9" ht="32" x14ac:dyDescent="0.2">
      <c r="A305" s="18" t="s">
        <v>453</v>
      </c>
      <c r="B305" s="19" t="s">
        <v>181</v>
      </c>
      <c r="C305" s="19">
        <v>1</v>
      </c>
      <c r="D305" s="20" t="s">
        <v>471</v>
      </c>
      <c r="E305" s="19" t="s">
        <v>14</v>
      </c>
      <c r="F305" s="19" t="s">
        <v>15</v>
      </c>
      <c r="G305" s="19"/>
      <c r="H305" s="21"/>
      <c r="I305" s="17">
        <f t="shared" si="4"/>
        <v>0</v>
      </c>
    </row>
    <row r="306" spans="1:9" ht="16" x14ac:dyDescent="0.2">
      <c r="A306" s="18" t="s">
        <v>453</v>
      </c>
      <c r="B306" s="19" t="s">
        <v>345</v>
      </c>
      <c r="C306" s="19">
        <v>1</v>
      </c>
      <c r="D306" s="20" t="s">
        <v>472</v>
      </c>
      <c r="E306" s="19" t="s">
        <v>14</v>
      </c>
      <c r="F306" s="19" t="s">
        <v>15</v>
      </c>
      <c r="G306" s="19"/>
      <c r="H306" s="21"/>
      <c r="I306" s="17">
        <f t="shared" si="4"/>
        <v>0</v>
      </c>
    </row>
    <row r="307" spans="1:9" ht="16" x14ac:dyDescent="0.2">
      <c r="A307" s="18" t="s">
        <v>453</v>
      </c>
      <c r="B307" s="19" t="s">
        <v>347</v>
      </c>
      <c r="C307" s="19">
        <v>1</v>
      </c>
      <c r="D307" s="20" t="s">
        <v>473</v>
      </c>
      <c r="E307" s="19" t="s">
        <v>14</v>
      </c>
      <c r="F307" s="19" t="s">
        <v>15</v>
      </c>
      <c r="G307" s="19"/>
      <c r="H307" s="21"/>
      <c r="I307" s="17">
        <f t="shared" si="4"/>
        <v>0</v>
      </c>
    </row>
    <row r="308" spans="1:9" ht="16" x14ac:dyDescent="0.2">
      <c r="A308" s="18" t="s">
        <v>453</v>
      </c>
      <c r="B308" s="19" t="s">
        <v>349</v>
      </c>
      <c r="C308" s="19">
        <v>1</v>
      </c>
      <c r="D308" s="20" t="s">
        <v>474</v>
      </c>
      <c r="E308" s="19" t="s">
        <v>14</v>
      </c>
      <c r="F308" s="19" t="s">
        <v>15</v>
      </c>
      <c r="G308" s="19"/>
      <c r="H308" s="21"/>
      <c r="I308" s="17">
        <f t="shared" si="4"/>
        <v>0</v>
      </c>
    </row>
    <row r="309" spans="1:9" ht="16" x14ac:dyDescent="0.2">
      <c r="A309" s="22" t="s">
        <v>453</v>
      </c>
      <c r="B309" s="19" t="s">
        <v>351</v>
      </c>
      <c r="C309" s="19">
        <v>2</v>
      </c>
      <c r="D309" s="23" t="s">
        <v>475</v>
      </c>
      <c r="E309" s="19" t="s">
        <v>14</v>
      </c>
      <c r="F309" s="19" t="s">
        <v>15</v>
      </c>
      <c r="G309" s="19"/>
      <c r="H309" s="21"/>
      <c r="I309" s="17">
        <f t="shared" si="4"/>
        <v>0</v>
      </c>
    </row>
    <row r="310" spans="1:9" ht="16" x14ac:dyDescent="0.2">
      <c r="A310" s="22" t="s">
        <v>453</v>
      </c>
      <c r="B310" s="19" t="s">
        <v>353</v>
      </c>
      <c r="C310" s="19">
        <v>2</v>
      </c>
      <c r="D310" s="23" t="s">
        <v>476</v>
      </c>
      <c r="E310" s="19" t="s">
        <v>14</v>
      </c>
      <c r="F310" s="19" t="s">
        <v>15</v>
      </c>
      <c r="G310" s="19"/>
      <c r="H310" s="21"/>
      <c r="I310" s="17">
        <f t="shared" si="4"/>
        <v>0</v>
      </c>
    </row>
    <row r="311" spans="1:9" ht="16" x14ac:dyDescent="0.2">
      <c r="A311" s="22" t="s">
        <v>453</v>
      </c>
      <c r="B311" s="19" t="s">
        <v>477</v>
      </c>
      <c r="C311" s="19">
        <v>3</v>
      </c>
      <c r="D311" s="23" t="s">
        <v>478</v>
      </c>
      <c r="E311" s="19" t="s">
        <v>14</v>
      </c>
      <c r="F311" s="19" t="s">
        <v>15</v>
      </c>
      <c r="G311" s="19"/>
      <c r="H311" s="21"/>
      <c r="I311" s="17">
        <f t="shared" si="4"/>
        <v>0</v>
      </c>
    </row>
    <row r="312" spans="1:9" ht="16" x14ac:dyDescent="0.2">
      <c r="A312" s="22" t="s">
        <v>453</v>
      </c>
      <c r="B312" s="19" t="s">
        <v>479</v>
      </c>
      <c r="C312" s="19">
        <v>3</v>
      </c>
      <c r="D312" s="23" t="s">
        <v>480</v>
      </c>
      <c r="E312" s="19" t="s">
        <v>14</v>
      </c>
      <c r="F312" s="19" t="s">
        <v>15</v>
      </c>
      <c r="G312" s="19"/>
      <c r="H312" s="21"/>
      <c r="I312" s="17">
        <f t="shared" si="4"/>
        <v>0</v>
      </c>
    </row>
    <row r="313" spans="1:9" ht="16" x14ac:dyDescent="0.2">
      <c r="A313" s="22" t="s">
        <v>453</v>
      </c>
      <c r="B313" s="19" t="s">
        <v>481</v>
      </c>
      <c r="C313" s="19">
        <v>3</v>
      </c>
      <c r="D313" s="23" t="s">
        <v>482</v>
      </c>
      <c r="E313" s="19" t="s">
        <v>14</v>
      </c>
      <c r="F313" s="19" t="s">
        <v>15</v>
      </c>
      <c r="G313" s="19"/>
      <c r="H313" s="21"/>
      <c r="I313" s="17">
        <f t="shared" si="4"/>
        <v>0</v>
      </c>
    </row>
    <row r="314" spans="1:9" ht="16" x14ac:dyDescent="0.2">
      <c r="A314" s="22" t="s">
        <v>453</v>
      </c>
      <c r="B314" s="19" t="s">
        <v>483</v>
      </c>
      <c r="C314" s="19">
        <v>3</v>
      </c>
      <c r="D314" s="23" t="s">
        <v>484</v>
      </c>
      <c r="E314" s="19" t="s">
        <v>14</v>
      </c>
      <c r="F314" s="19" t="s">
        <v>15</v>
      </c>
      <c r="G314" s="19"/>
      <c r="H314" s="21"/>
      <c r="I314" s="17">
        <f t="shared" si="4"/>
        <v>0</v>
      </c>
    </row>
    <row r="315" spans="1:9" ht="16" x14ac:dyDescent="0.2">
      <c r="A315" s="22" t="s">
        <v>453</v>
      </c>
      <c r="B315" s="19" t="s">
        <v>485</v>
      </c>
      <c r="C315" s="19">
        <v>3</v>
      </c>
      <c r="D315" s="23" t="s">
        <v>486</v>
      </c>
      <c r="E315" s="19" t="s">
        <v>14</v>
      </c>
      <c r="F315" s="19" t="s">
        <v>15</v>
      </c>
      <c r="G315" s="19"/>
      <c r="H315" s="21"/>
      <c r="I315" s="17">
        <f t="shared" si="4"/>
        <v>0</v>
      </c>
    </row>
    <row r="316" spans="1:9" ht="16" x14ac:dyDescent="0.2">
      <c r="A316" s="22" t="s">
        <v>453</v>
      </c>
      <c r="B316" s="19" t="s">
        <v>487</v>
      </c>
      <c r="C316" s="19">
        <v>3</v>
      </c>
      <c r="D316" s="23" t="s">
        <v>488</v>
      </c>
      <c r="E316" s="19" t="s">
        <v>14</v>
      </c>
      <c r="F316" s="19" t="s">
        <v>15</v>
      </c>
      <c r="G316" s="19"/>
      <c r="H316" s="21"/>
      <c r="I316" s="17">
        <f t="shared" si="4"/>
        <v>0</v>
      </c>
    </row>
    <row r="317" spans="1:9" ht="16" x14ac:dyDescent="0.2">
      <c r="A317" s="22" t="s">
        <v>453</v>
      </c>
      <c r="B317" s="19" t="s">
        <v>489</v>
      </c>
      <c r="C317" s="19">
        <v>3</v>
      </c>
      <c r="D317" s="23" t="s">
        <v>490</v>
      </c>
      <c r="E317" s="19" t="s">
        <v>14</v>
      </c>
      <c r="F317" s="19" t="s">
        <v>15</v>
      </c>
      <c r="G317" s="19"/>
      <c r="H317" s="21"/>
      <c r="I317" s="17">
        <f t="shared" si="4"/>
        <v>0</v>
      </c>
    </row>
    <row r="318" spans="1:9" ht="16" x14ac:dyDescent="0.2">
      <c r="A318" s="22" t="s">
        <v>453</v>
      </c>
      <c r="B318" s="19" t="s">
        <v>491</v>
      </c>
      <c r="C318" s="19">
        <v>3</v>
      </c>
      <c r="D318" s="23" t="s">
        <v>492</v>
      </c>
      <c r="E318" s="19" t="s">
        <v>14</v>
      </c>
      <c r="F318" s="19" t="s">
        <v>15</v>
      </c>
      <c r="G318" s="19"/>
      <c r="H318" s="21"/>
      <c r="I318" s="17">
        <f t="shared" si="4"/>
        <v>0</v>
      </c>
    </row>
    <row r="319" spans="1:9" ht="16" x14ac:dyDescent="0.2">
      <c r="A319" s="22" t="s">
        <v>453</v>
      </c>
      <c r="B319" s="19" t="s">
        <v>493</v>
      </c>
      <c r="C319" s="19">
        <v>3</v>
      </c>
      <c r="D319" s="23" t="s">
        <v>494</v>
      </c>
      <c r="E319" s="19" t="s">
        <v>14</v>
      </c>
      <c r="F319" s="19" t="s">
        <v>15</v>
      </c>
      <c r="G319" s="19"/>
      <c r="H319" s="21"/>
      <c r="I319" s="17">
        <f t="shared" si="4"/>
        <v>0</v>
      </c>
    </row>
    <row r="320" spans="1:9" ht="16" x14ac:dyDescent="0.2">
      <c r="A320" s="22" t="s">
        <v>453</v>
      </c>
      <c r="B320" s="19" t="s">
        <v>495</v>
      </c>
      <c r="C320" s="19">
        <v>3</v>
      </c>
      <c r="D320" s="23" t="s">
        <v>496</v>
      </c>
      <c r="E320" s="19" t="s">
        <v>14</v>
      </c>
      <c r="F320" s="19" t="s">
        <v>15</v>
      </c>
      <c r="G320" s="19"/>
      <c r="H320" s="21"/>
      <c r="I320" s="17">
        <f t="shared" si="4"/>
        <v>0</v>
      </c>
    </row>
    <row r="321" spans="1:9" ht="16" x14ac:dyDescent="0.2">
      <c r="A321" s="22" t="s">
        <v>453</v>
      </c>
      <c r="B321" s="19" t="s">
        <v>497</v>
      </c>
      <c r="C321" s="19">
        <v>3</v>
      </c>
      <c r="D321" s="23" t="s">
        <v>498</v>
      </c>
      <c r="E321" s="19" t="s">
        <v>14</v>
      </c>
      <c r="F321" s="19" t="s">
        <v>15</v>
      </c>
      <c r="G321" s="19"/>
      <c r="H321" s="21"/>
      <c r="I321" s="17">
        <f t="shared" si="4"/>
        <v>0</v>
      </c>
    </row>
    <row r="322" spans="1:9" ht="16" x14ac:dyDescent="0.2">
      <c r="A322" s="22" t="s">
        <v>453</v>
      </c>
      <c r="B322" s="19" t="s">
        <v>499</v>
      </c>
      <c r="C322" s="19">
        <v>3</v>
      </c>
      <c r="D322" s="23" t="s">
        <v>500</v>
      </c>
      <c r="E322" s="19" t="s">
        <v>14</v>
      </c>
      <c r="F322" s="19" t="s">
        <v>15</v>
      </c>
      <c r="G322" s="19"/>
      <c r="H322" s="21"/>
      <c r="I322" s="17">
        <f t="shared" si="4"/>
        <v>0</v>
      </c>
    </row>
    <row r="323" spans="1:9" ht="16" x14ac:dyDescent="0.2">
      <c r="A323" s="22" t="s">
        <v>453</v>
      </c>
      <c r="B323" s="19" t="s">
        <v>501</v>
      </c>
      <c r="C323" s="19">
        <v>3</v>
      </c>
      <c r="D323" s="23" t="s">
        <v>502</v>
      </c>
      <c r="E323" s="19" t="s">
        <v>14</v>
      </c>
      <c r="F323" s="19" t="s">
        <v>15</v>
      </c>
      <c r="G323" s="19"/>
      <c r="H323" s="21"/>
      <c r="I323" s="17">
        <f t="shared" si="4"/>
        <v>0</v>
      </c>
    </row>
    <row r="324" spans="1:9" ht="16" x14ac:dyDescent="0.2">
      <c r="A324" s="22" t="s">
        <v>453</v>
      </c>
      <c r="B324" s="19" t="s">
        <v>503</v>
      </c>
      <c r="C324" s="19">
        <v>3</v>
      </c>
      <c r="D324" s="23" t="s">
        <v>504</v>
      </c>
      <c r="E324" s="19" t="s">
        <v>14</v>
      </c>
      <c r="F324" s="19" t="s">
        <v>15</v>
      </c>
      <c r="G324" s="19"/>
      <c r="H324" s="21"/>
      <c r="I324" s="17">
        <f t="shared" ref="I324:I359" si="5">IF(OR($E324="Estudado",LEFT($E324,7)="Revisão"),1,0)</f>
        <v>0</v>
      </c>
    </row>
    <row r="325" spans="1:9" ht="16" x14ac:dyDescent="0.2">
      <c r="A325" s="22" t="s">
        <v>453</v>
      </c>
      <c r="B325" s="19" t="s">
        <v>505</v>
      </c>
      <c r="C325" s="19">
        <v>3</v>
      </c>
      <c r="D325" s="23" t="s">
        <v>506</v>
      </c>
      <c r="E325" s="19" t="s">
        <v>14</v>
      </c>
      <c r="F325" s="19" t="s">
        <v>15</v>
      </c>
      <c r="G325" s="19"/>
      <c r="H325" s="21"/>
      <c r="I325" s="17">
        <f t="shared" si="5"/>
        <v>0</v>
      </c>
    </row>
    <row r="326" spans="1:9" ht="16" x14ac:dyDescent="0.2">
      <c r="A326" s="22" t="s">
        <v>453</v>
      </c>
      <c r="B326" s="19" t="s">
        <v>507</v>
      </c>
      <c r="C326" s="19">
        <v>3</v>
      </c>
      <c r="D326" s="23" t="s">
        <v>508</v>
      </c>
      <c r="E326" s="19" t="s">
        <v>14</v>
      </c>
      <c r="F326" s="19" t="s">
        <v>15</v>
      </c>
      <c r="G326" s="19"/>
      <c r="H326" s="21"/>
      <c r="I326" s="17">
        <f t="shared" si="5"/>
        <v>0</v>
      </c>
    </row>
    <row r="327" spans="1:9" ht="16" x14ac:dyDescent="0.2">
      <c r="A327" s="22" t="s">
        <v>453</v>
      </c>
      <c r="B327" s="19" t="s">
        <v>355</v>
      </c>
      <c r="C327" s="19">
        <v>2</v>
      </c>
      <c r="D327" s="23" t="s">
        <v>509</v>
      </c>
      <c r="E327" s="19" t="s">
        <v>14</v>
      </c>
      <c r="F327" s="19" t="s">
        <v>15</v>
      </c>
      <c r="G327" s="19"/>
      <c r="H327" s="21"/>
      <c r="I327" s="17">
        <f t="shared" si="5"/>
        <v>0</v>
      </c>
    </row>
    <row r="328" spans="1:9" ht="16" x14ac:dyDescent="0.2">
      <c r="A328" s="18" t="s">
        <v>453</v>
      </c>
      <c r="B328" s="19" t="s">
        <v>365</v>
      </c>
      <c r="C328" s="19">
        <v>1</v>
      </c>
      <c r="D328" s="20" t="s">
        <v>510</v>
      </c>
      <c r="E328" s="19" t="s">
        <v>14</v>
      </c>
      <c r="F328" s="19" t="s">
        <v>15</v>
      </c>
      <c r="G328" s="19"/>
      <c r="H328" s="21"/>
      <c r="I328" s="17">
        <f t="shared" si="5"/>
        <v>0</v>
      </c>
    </row>
    <row r="329" spans="1:9" ht="16" x14ac:dyDescent="0.2">
      <c r="A329" s="22" t="s">
        <v>453</v>
      </c>
      <c r="B329" s="19" t="s">
        <v>367</v>
      </c>
      <c r="C329" s="19">
        <v>2</v>
      </c>
      <c r="D329" s="23" t="s">
        <v>511</v>
      </c>
      <c r="E329" s="19" t="s">
        <v>14</v>
      </c>
      <c r="F329" s="19" t="s">
        <v>15</v>
      </c>
      <c r="G329" s="19"/>
      <c r="H329" s="21"/>
      <c r="I329" s="17">
        <f t="shared" si="5"/>
        <v>0</v>
      </c>
    </row>
    <row r="330" spans="1:9" ht="16" x14ac:dyDescent="0.2">
      <c r="A330" s="22" t="s">
        <v>453</v>
      </c>
      <c r="B330" s="19" t="s">
        <v>369</v>
      </c>
      <c r="C330" s="19">
        <v>2</v>
      </c>
      <c r="D330" s="23" t="s">
        <v>512</v>
      </c>
      <c r="E330" s="19" t="s">
        <v>14</v>
      </c>
      <c r="F330" s="19" t="s">
        <v>15</v>
      </c>
      <c r="G330" s="19"/>
      <c r="H330" s="21"/>
      <c r="I330" s="17">
        <f t="shared" si="5"/>
        <v>0</v>
      </c>
    </row>
    <row r="331" spans="1:9" ht="16" x14ac:dyDescent="0.2">
      <c r="A331" s="22" t="s">
        <v>453</v>
      </c>
      <c r="B331" s="19" t="s">
        <v>513</v>
      </c>
      <c r="C331" s="19">
        <v>2</v>
      </c>
      <c r="D331" s="23" t="s">
        <v>514</v>
      </c>
      <c r="E331" s="19" t="s">
        <v>14</v>
      </c>
      <c r="F331" s="19" t="s">
        <v>15</v>
      </c>
      <c r="G331" s="19"/>
      <c r="H331" s="21"/>
      <c r="I331" s="17">
        <f t="shared" si="5"/>
        <v>0</v>
      </c>
    </row>
    <row r="332" spans="1:9" ht="16" x14ac:dyDescent="0.2">
      <c r="A332" s="22" t="s">
        <v>453</v>
      </c>
      <c r="B332" s="19" t="s">
        <v>515</v>
      </c>
      <c r="C332" s="19">
        <v>2</v>
      </c>
      <c r="D332" s="23" t="s">
        <v>516</v>
      </c>
      <c r="E332" s="19" t="s">
        <v>14</v>
      </c>
      <c r="F332" s="19" t="s">
        <v>15</v>
      </c>
      <c r="G332" s="19"/>
      <c r="H332" s="21"/>
      <c r="I332" s="17">
        <f t="shared" si="5"/>
        <v>0</v>
      </c>
    </row>
    <row r="333" spans="1:9" ht="16" x14ac:dyDescent="0.2">
      <c r="A333" s="22" t="s">
        <v>453</v>
      </c>
      <c r="B333" s="19" t="s">
        <v>517</v>
      </c>
      <c r="C333" s="19">
        <v>2</v>
      </c>
      <c r="D333" s="23" t="s">
        <v>518</v>
      </c>
      <c r="E333" s="19" t="s">
        <v>14</v>
      </c>
      <c r="F333" s="19" t="s">
        <v>15</v>
      </c>
      <c r="G333" s="19"/>
      <c r="H333" s="21"/>
      <c r="I333" s="17">
        <f t="shared" si="5"/>
        <v>0</v>
      </c>
    </row>
    <row r="334" spans="1:9" ht="16" x14ac:dyDescent="0.2">
      <c r="A334" s="22" t="s">
        <v>453</v>
      </c>
      <c r="B334" s="19" t="s">
        <v>519</v>
      </c>
      <c r="C334" s="19">
        <v>2</v>
      </c>
      <c r="D334" s="23" t="s">
        <v>520</v>
      </c>
      <c r="E334" s="19" t="s">
        <v>14</v>
      </c>
      <c r="F334" s="19" t="s">
        <v>15</v>
      </c>
      <c r="G334" s="19"/>
      <c r="H334" s="21"/>
      <c r="I334" s="17">
        <f t="shared" si="5"/>
        <v>0</v>
      </c>
    </row>
    <row r="335" spans="1:9" ht="32" x14ac:dyDescent="0.2">
      <c r="A335" s="18" t="s">
        <v>453</v>
      </c>
      <c r="B335" s="19" t="s">
        <v>370</v>
      </c>
      <c r="C335" s="19">
        <v>1</v>
      </c>
      <c r="D335" s="20" t="s">
        <v>521</v>
      </c>
      <c r="E335" s="19" t="s">
        <v>14</v>
      </c>
      <c r="F335" s="19" t="s">
        <v>15</v>
      </c>
      <c r="G335" s="19"/>
      <c r="H335" s="21"/>
      <c r="I335" s="17">
        <f t="shared" si="5"/>
        <v>0</v>
      </c>
    </row>
    <row r="336" spans="1:9" ht="16" x14ac:dyDescent="0.2">
      <c r="A336" s="18" t="s">
        <v>453</v>
      </c>
      <c r="B336" s="19" t="s">
        <v>405</v>
      </c>
      <c r="C336" s="19">
        <v>1</v>
      </c>
      <c r="D336" s="20" t="s">
        <v>522</v>
      </c>
      <c r="E336" s="19" t="s">
        <v>14</v>
      </c>
      <c r="F336" s="19" t="s">
        <v>15</v>
      </c>
      <c r="G336" s="19"/>
      <c r="H336" s="21"/>
      <c r="I336" s="17">
        <f t="shared" si="5"/>
        <v>0</v>
      </c>
    </row>
    <row r="337" spans="1:9" ht="16" x14ac:dyDescent="0.2">
      <c r="A337" s="22" t="s">
        <v>453</v>
      </c>
      <c r="B337" s="19" t="s">
        <v>407</v>
      </c>
      <c r="C337" s="19">
        <v>2</v>
      </c>
      <c r="D337" s="23" t="s">
        <v>523</v>
      </c>
      <c r="E337" s="19" t="s">
        <v>14</v>
      </c>
      <c r="F337" s="19" t="s">
        <v>15</v>
      </c>
      <c r="G337" s="19"/>
      <c r="H337" s="21"/>
      <c r="I337" s="17">
        <f t="shared" si="5"/>
        <v>0</v>
      </c>
    </row>
    <row r="338" spans="1:9" ht="16" x14ac:dyDescent="0.2">
      <c r="A338" s="18" t="s">
        <v>453</v>
      </c>
      <c r="B338" s="19" t="s">
        <v>524</v>
      </c>
      <c r="C338" s="19">
        <v>1</v>
      </c>
      <c r="D338" s="20" t="s">
        <v>525</v>
      </c>
      <c r="E338" s="19" t="s">
        <v>14</v>
      </c>
      <c r="F338" s="19" t="s">
        <v>15</v>
      </c>
      <c r="G338" s="19"/>
      <c r="H338" s="21"/>
      <c r="I338" s="17">
        <f t="shared" si="5"/>
        <v>0</v>
      </c>
    </row>
    <row r="339" spans="1:9" ht="16" x14ac:dyDescent="0.2">
      <c r="A339" s="18" t="s">
        <v>453</v>
      </c>
      <c r="B339" s="19" t="s">
        <v>526</v>
      </c>
      <c r="C339" s="19">
        <v>1</v>
      </c>
      <c r="D339" s="20" t="s">
        <v>527</v>
      </c>
      <c r="E339" s="19" t="s">
        <v>14</v>
      </c>
      <c r="F339" s="19" t="s">
        <v>15</v>
      </c>
      <c r="G339" s="19"/>
      <c r="H339" s="21"/>
      <c r="I339" s="17">
        <f t="shared" si="5"/>
        <v>0</v>
      </c>
    </row>
    <row r="340" spans="1:9" ht="16" x14ac:dyDescent="0.2">
      <c r="A340" s="18" t="s">
        <v>453</v>
      </c>
      <c r="B340" s="19" t="s">
        <v>418</v>
      </c>
      <c r="C340" s="19">
        <v>1</v>
      </c>
      <c r="D340" s="20" t="s">
        <v>528</v>
      </c>
      <c r="E340" s="19" t="s">
        <v>14</v>
      </c>
      <c r="F340" s="19" t="s">
        <v>15</v>
      </c>
      <c r="G340" s="19"/>
      <c r="H340" s="21"/>
      <c r="I340" s="17">
        <f t="shared" si="5"/>
        <v>0</v>
      </c>
    </row>
    <row r="341" spans="1:9" ht="16" x14ac:dyDescent="0.2">
      <c r="A341" s="18" t="s">
        <v>453</v>
      </c>
      <c r="B341" s="19" t="s">
        <v>420</v>
      </c>
      <c r="C341" s="19">
        <v>1</v>
      </c>
      <c r="D341" s="20" t="s">
        <v>529</v>
      </c>
      <c r="E341" s="19" t="s">
        <v>14</v>
      </c>
      <c r="F341" s="19" t="s">
        <v>15</v>
      </c>
      <c r="G341" s="19"/>
      <c r="H341" s="21"/>
      <c r="I341" s="17">
        <f t="shared" si="5"/>
        <v>0</v>
      </c>
    </row>
    <row r="342" spans="1:9" ht="16" x14ac:dyDescent="0.2">
      <c r="A342" s="18" t="s">
        <v>453</v>
      </c>
      <c r="B342" s="19" t="s">
        <v>422</v>
      </c>
      <c r="C342" s="19">
        <v>1</v>
      </c>
      <c r="D342" s="20" t="s">
        <v>530</v>
      </c>
      <c r="E342" s="19" t="s">
        <v>14</v>
      </c>
      <c r="F342" s="19" t="s">
        <v>15</v>
      </c>
      <c r="G342" s="19"/>
      <c r="H342" s="21"/>
      <c r="I342" s="17">
        <f t="shared" si="5"/>
        <v>0</v>
      </c>
    </row>
    <row r="343" spans="1:9" ht="16" x14ac:dyDescent="0.2">
      <c r="A343" s="18" t="s">
        <v>453</v>
      </c>
      <c r="B343" s="19" t="s">
        <v>424</v>
      </c>
      <c r="C343" s="19">
        <v>1</v>
      </c>
      <c r="D343" s="20" t="s">
        <v>531</v>
      </c>
      <c r="E343" s="19" t="s">
        <v>14</v>
      </c>
      <c r="F343" s="19" t="s">
        <v>15</v>
      </c>
      <c r="G343" s="19"/>
      <c r="H343" s="21"/>
      <c r="I343" s="17">
        <f t="shared" si="5"/>
        <v>0</v>
      </c>
    </row>
    <row r="344" spans="1:9" ht="32" x14ac:dyDescent="0.2">
      <c r="A344" s="2" t="s">
        <v>532</v>
      </c>
      <c r="B344" s="3" t="s">
        <v>12</v>
      </c>
      <c r="C344" s="3">
        <v>1</v>
      </c>
      <c r="D344" s="4" t="s">
        <v>533</v>
      </c>
      <c r="E344" s="3" t="s">
        <v>14</v>
      </c>
      <c r="F344" s="3" t="s">
        <v>15</v>
      </c>
      <c r="G344" s="3"/>
      <c r="H344" s="5"/>
      <c r="I344" s="6">
        <f t="shared" si="5"/>
        <v>0</v>
      </c>
    </row>
    <row r="345" spans="1:9" ht="16" x14ac:dyDescent="0.2">
      <c r="A345" s="11" t="s">
        <v>532</v>
      </c>
      <c r="B345" s="8" t="s">
        <v>93</v>
      </c>
      <c r="C345" s="8">
        <v>2</v>
      </c>
      <c r="D345" s="12" t="s">
        <v>534</v>
      </c>
      <c r="E345" s="8" t="s">
        <v>14</v>
      </c>
      <c r="F345" s="8" t="s">
        <v>15</v>
      </c>
      <c r="G345" s="8"/>
      <c r="H345" s="10"/>
      <c r="I345" s="6">
        <f t="shared" si="5"/>
        <v>0</v>
      </c>
    </row>
    <row r="346" spans="1:9" ht="16" x14ac:dyDescent="0.2">
      <c r="A346" s="11" t="s">
        <v>532</v>
      </c>
      <c r="B346" s="8" t="s">
        <v>535</v>
      </c>
      <c r="C346" s="8">
        <v>3</v>
      </c>
      <c r="D346" s="12" t="s">
        <v>536</v>
      </c>
      <c r="E346" s="8" t="s">
        <v>14</v>
      </c>
      <c r="F346" s="8" t="s">
        <v>15</v>
      </c>
      <c r="G346" s="8"/>
      <c r="H346" s="10"/>
      <c r="I346" s="6">
        <f t="shared" si="5"/>
        <v>0</v>
      </c>
    </row>
    <row r="347" spans="1:9" ht="160" x14ac:dyDescent="0.2">
      <c r="A347" s="11" t="s">
        <v>532</v>
      </c>
      <c r="B347" s="8" t="s">
        <v>537</v>
      </c>
      <c r="C347" s="8">
        <v>4</v>
      </c>
      <c r="D347" s="12" t="s">
        <v>538</v>
      </c>
      <c r="E347" s="8" t="s">
        <v>14</v>
      </c>
      <c r="F347" s="8" t="s">
        <v>15</v>
      </c>
      <c r="G347" s="8"/>
      <c r="H347" s="10"/>
      <c r="I347" s="6">
        <f t="shared" si="5"/>
        <v>0</v>
      </c>
    </row>
    <row r="348" spans="1:9" ht="16" x14ac:dyDescent="0.2">
      <c r="A348" s="11" t="s">
        <v>532</v>
      </c>
      <c r="B348" s="8" t="s">
        <v>539</v>
      </c>
      <c r="C348" s="8">
        <v>4</v>
      </c>
      <c r="D348" s="12" t="s">
        <v>540</v>
      </c>
      <c r="E348" s="8" t="s">
        <v>14</v>
      </c>
      <c r="F348" s="8" t="s">
        <v>15</v>
      </c>
      <c r="G348" s="8"/>
      <c r="H348" s="10"/>
      <c r="I348" s="6">
        <f t="shared" si="5"/>
        <v>0</v>
      </c>
    </row>
    <row r="349" spans="1:9" ht="32" x14ac:dyDescent="0.2">
      <c r="A349" s="11" t="s">
        <v>532</v>
      </c>
      <c r="B349" s="8" t="s">
        <v>541</v>
      </c>
      <c r="C349" s="8">
        <v>4</v>
      </c>
      <c r="D349" s="12" t="s">
        <v>542</v>
      </c>
      <c r="E349" s="8" t="s">
        <v>14</v>
      </c>
      <c r="F349" s="8" t="s">
        <v>15</v>
      </c>
      <c r="G349" s="8"/>
      <c r="H349" s="10"/>
      <c r="I349" s="6">
        <f t="shared" si="5"/>
        <v>0</v>
      </c>
    </row>
    <row r="350" spans="1:9" ht="16" x14ac:dyDescent="0.2">
      <c r="A350" s="11" t="s">
        <v>532</v>
      </c>
      <c r="B350" s="8" t="s">
        <v>543</v>
      </c>
      <c r="C350" s="8">
        <v>4</v>
      </c>
      <c r="D350" s="12" t="s">
        <v>544</v>
      </c>
      <c r="E350" s="8" t="s">
        <v>14</v>
      </c>
      <c r="F350" s="8" t="s">
        <v>15</v>
      </c>
      <c r="G350" s="8"/>
      <c r="H350" s="10"/>
      <c r="I350" s="6">
        <f t="shared" si="5"/>
        <v>0</v>
      </c>
    </row>
    <row r="351" spans="1:9" ht="32" x14ac:dyDescent="0.2">
      <c r="A351" s="11" t="s">
        <v>532</v>
      </c>
      <c r="B351" s="8" t="s">
        <v>545</v>
      </c>
      <c r="C351" s="8">
        <v>4</v>
      </c>
      <c r="D351" s="12" t="s">
        <v>546</v>
      </c>
      <c r="E351" s="8" t="s">
        <v>14</v>
      </c>
      <c r="F351" s="8" t="s">
        <v>15</v>
      </c>
      <c r="G351" s="8"/>
      <c r="H351" s="10"/>
      <c r="I351" s="6">
        <f t="shared" si="5"/>
        <v>0</v>
      </c>
    </row>
    <row r="352" spans="1:9" ht="64" x14ac:dyDescent="0.2">
      <c r="A352" s="11" t="s">
        <v>532</v>
      </c>
      <c r="B352" s="8" t="s">
        <v>547</v>
      </c>
      <c r="C352" s="8">
        <v>4</v>
      </c>
      <c r="D352" s="12" t="s">
        <v>548</v>
      </c>
      <c r="E352" s="8" t="s">
        <v>14</v>
      </c>
      <c r="F352" s="8" t="s">
        <v>15</v>
      </c>
      <c r="G352" s="8"/>
      <c r="H352" s="10"/>
      <c r="I352" s="6">
        <f t="shared" si="5"/>
        <v>0</v>
      </c>
    </row>
    <row r="353" spans="1:9" ht="32" x14ac:dyDescent="0.2">
      <c r="A353" s="11" t="s">
        <v>532</v>
      </c>
      <c r="B353" s="8" t="s">
        <v>549</v>
      </c>
      <c r="C353" s="8">
        <v>4</v>
      </c>
      <c r="D353" s="12" t="s">
        <v>550</v>
      </c>
      <c r="E353" s="8" t="s">
        <v>14</v>
      </c>
      <c r="F353" s="8" t="s">
        <v>15</v>
      </c>
      <c r="G353" s="8"/>
      <c r="H353" s="10"/>
      <c r="I353" s="6">
        <f t="shared" si="5"/>
        <v>0</v>
      </c>
    </row>
    <row r="354" spans="1:9" ht="16" x14ac:dyDescent="0.2">
      <c r="A354" s="11" t="s">
        <v>532</v>
      </c>
      <c r="B354" s="8" t="s">
        <v>188</v>
      </c>
      <c r="C354" s="8">
        <v>2</v>
      </c>
      <c r="D354" s="12" t="s">
        <v>551</v>
      </c>
      <c r="E354" s="8" t="s">
        <v>14</v>
      </c>
      <c r="F354" s="8" t="s">
        <v>15</v>
      </c>
      <c r="G354" s="8"/>
      <c r="H354" s="10"/>
      <c r="I354" s="6">
        <f t="shared" si="5"/>
        <v>0</v>
      </c>
    </row>
    <row r="355" spans="1:9" ht="16" x14ac:dyDescent="0.2">
      <c r="A355" s="11" t="s">
        <v>532</v>
      </c>
      <c r="B355" s="8" t="s">
        <v>552</v>
      </c>
      <c r="C355" s="8">
        <v>3</v>
      </c>
      <c r="D355" s="12" t="s">
        <v>553</v>
      </c>
      <c r="E355" s="8" t="s">
        <v>14</v>
      </c>
      <c r="F355" s="8" t="s">
        <v>15</v>
      </c>
      <c r="G355" s="8"/>
      <c r="H355" s="10"/>
      <c r="I355" s="6">
        <f t="shared" si="5"/>
        <v>0</v>
      </c>
    </row>
    <row r="356" spans="1:9" ht="48" x14ac:dyDescent="0.2">
      <c r="A356" s="11" t="s">
        <v>532</v>
      </c>
      <c r="B356" s="8" t="s">
        <v>554</v>
      </c>
      <c r="C356" s="8">
        <v>4</v>
      </c>
      <c r="D356" s="12" t="s">
        <v>555</v>
      </c>
      <c r="E356" s="8" t="s">
        <v>14</v>
      </c>
      <c r="F356" s="8" t="s">
        <v>15</v>
      </c>
      <c r="G356" s="8"/>
      <c r="H356" s="10"/>
      <c r="I356" s="6">
        <f t="shared" si="5"/>
        <v>0</v>
      </c>
    </row>
    <row r="357" spans="1:9" ht="80" x14ac:dyDescent="0.2">
      <c r="A357" s="11" t="s">
        <v>532</v>
      </c>
      <c r="B357" s="8" t="s">
        <v>556</v>
      </c>
      <c r="C357" s="8">
        <v>4</v>
      </c>
      <c r="D357" s="12" t="s">
        <v>557</v>
      </c>
      <c r="E357" s="8" t="s">
        <v>14</v>
      </c>
      <c r="F357" s="8" t="s">
        <v>15</v>
      </c>
      <c r="G357" s="8"/>
      <c r="H357" s="10"/>
      <c r="I357" s="6">
        <f t="shared" si="5"/>
        <v>0</v>
      </c>
    </row>
    <row r="358" spans="1:9" ht="64" x14ac:dyDescent="0.2">
      <c r="A358" s="11" t="s">
        <v>532</v>
      </c>
      <c r="B358" s="8" t="s">
        <v>558</v>
      </c>
      <c r="C358" s="8">
        <v>4</v>
      </c>
      <c r="D358" s="12" t="s">
        <v>559</v>
      </c>
      <c r="E358" s="8" t="s">
        <v>14</v>
      </c>
      <c r="F358" s="8" t="s">
        <v>15</v>
      </c>
      <c r="G358" s="8"/>
      <c r="H358" s="10"/>
      <c r="I358" s="6">
        <f t="shared" si="5"/>
        <v>0</v>
      </c>
    </row>
    <row r="359" spans="1:9" ht="16" x14ac:dyDescent="0.2">
      <c r="A359" s="7" t="s">
        <v>532</v>
      </c>
      <c r="B359" s="8" t="s">
        <v>16</v>
      </c>
      <c r="C359" s="8">
        <v>1</v>
      </c>
      <c r="D359" s="9" t="s">
        <v>560</v>
      </c>
      <c r="E359" s="8" t="s">
        <v>14</v>
      </c>
      <c r="F359" s="8" t="s">
        <v>15</v>
      </c>
      <c r="G359" s="8"/>
      <c r="H359" s="10"/>
      <c r="I359" s="6">
        <f t="shared" si="5"/>
        <v>0</v>
      </c>
    </row>
  </sheetData>
  <autoFilter ref="A3:H359" xr:uid="{00000000-0009-0000-0000-000000000000}"/>
  <mergeCells count="2">
    <mergeCell ref="B1:H1"/>
    <mergeCell ref="B2:H2"/>
  </mergeCells>
  <conditionalFormatting sqref="E4:E359">
    <cfRule type="expression" dxfId="6" priority="1">
      <formula>$E4="Estudado"</formula>
    </cfRule>
    <cfRule type="expression" dxfId="5" priority="2">
      <formula>LEFT($E4,7)="Revisão"</formula>
    </cfRule>
    <cfRule type="expression" dxfId="4" priority="3">
      <formula>$E4="Estudando"</formula>
    </cfRule>
    <cfRule type="expression" dxfId="3" priority="4">
      <formula>$E4="A estudar"</formula>
    </cfRule>
  </conditionalFormatting>
  <conditionalFormatting sqref="F4:F359">
    <cfRule type="expression" dxfId="2" priority="5">
      <formula>$F4="Alta"</formula>
    </cfRule>
    <cfRule type="expression" dxfId="1" priority="6">
      <formula>$F4="Média"</formula>
    </cfRule>
    <cfRule type="expression" dxfId="0" priority="7">
      <formula>$F4="Baixa"</formula>
    </cfRule>
  </conditionalFormatting>
  <dataValidations count="3">
    <dataValidation type="list" allowBlank="1" sqref="E4:E359" xr:uid="{00000000-0002-0000-0000-000000000000}">
      <formula1>"A estudar,Estudando,Estudado,Revisão 1,Revisão 2,Revisão 3"</formula1>
    </dataValidation>
    <dataValidation type="list" allowBlank="1" sqref="F4:F359" xr:uid="{00000000-0002-0000-0000-000001000000}">
      <formula1>"Sem dado,Alta,Média,Baixa"</formula1>
    </dataValidation>
    <dataValidation type="list" allowBlank="1" sqref="G4:G359" xr:uid="{00000000-0002-0000-0000-000002000000}">
      <formula1>"Alta,Média,Baixa"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A5FA"/>
  </sheetPr>
  <dimension ref="A1:D16"/>
  <sheetViews>
    <sheetView showGridLines="0" workbookViewId="0">
      <selection activeCell="D34" sqref="D34"/>
    </sheetView>
  </sheetViews>
  <sheetFormatPr baseColWidth="10" defaultColWidth="8.83203125" defaultRowHeight="15" x14ac:dyDescent="0.2"/>
  <cols>
    <col min="1" max="1" width="34" customWidth="1"/>
    <col min="2" max="2" width="9" customWidth="1"/>
    <col min="3" max="3" width="11" customWidth="1"/>
    <col min="4" max="4" width="13" customWidth="1"/>
  </cols>
  <sheetData>
    <row r="1" spans="1:4" ht="20" x14ac:dyDescent="0.25">
      <c r="A1" s="24" t="s">
        <v>561</v>
      </c>
    </row>
    <row r="2" spans="1:4" x14ac:dyDescent="0.2">
      <c r="A2" s="25" t="s">
        <v>1</v>
      </c>
    </row>
    <row r="4" spans="1:4" x14ac:dyDescent="0.2">
      <c r="A4" s="26" t="s">
        <v>2</v>
      </c>
      <c r="B4" s="26" t="s">
        <v>562</v>
      </c>
      <c r="C4" s="26" t="s">
        <v>563</v>
      </c>
      <c r="D4" s="26" t="s">
        <v>564</v>
      </c>
    </row>
    <row r="5" spans="1:4" x14ac:dyDescent="0.2">
      <c r="A5" s="27" t="s">
        <v>11</v>
      </c>
      <c r="B5" s="27">
        <f>COUNTIF(Verticalizado!$A$4:$A$359,A5)</f>
        <v>18</v>
      </c>
      <c r="C5" s="27">
        <f>SUMIFS(Verticalizado!$I$4:$I$359,Verticalizado!$A$4:$A$359,A5)</f>
        <v>0</v>
      </c>
      <c r="D5" s="28">
        <f t="shared" ref="D5:D16" si="0">IF(B5=0,0,C5/B5)</f>
        <v>0</v>
      </c>
    </row>
    <row r="6" spans="1:4" x14ac:dyDescent="0.2">
      <c r="A6" s="27" t="s">
        <v>50</v>
      </c>
      <c r="B6" s="27">
        <f>COUNTIF(Verticalizado!$A$4:$A$359,A6)</f>
        <v>16</v>
      </c>
      <c r="C6" s="27">
        <f>SUMIFS(Verticalizado!$I$4:$I$359,Verticalizado!$A$4:$A$359,A6)</f>
        <v>0</v>
      </c>
      <c r="D6" s="28">
        <f t="shared" si="0"/>
        <v>0</v>
      </c>
    </row>
    <row r="7" spans="1:4" x14ac:dyDescent="0.2">
      <c r="A7" s="27" t="s">
        <v>75</v>
      </c>
      <c r="B7" s="27">
        <f>COUNTIF(Verticalizado!$A$4:$A$359,A7)</f>
        <v>3</v>
      </c>
      <c r="C7" s="27">
        <f>SUMIFS(Verticalizado!$I$4:$I$359,Verticalizado!$A$4:$A$359,A7)</f>
        <v>0</v>
      </c>
      <c r="D7" s="28">
        <f t="shared" si="0"/>
        <v>0</v>
      </c>
    </row>
    <row r="8" spans="1:4" x14ac:dyDescent="0.2">
      <c r="A8" s="27" t="s">
        <v>79</v>
      </c>
      <c r="B8" s="27">
        <f>COUNTIF(Verticalizado!$A$4:$A$359,A8)</f>
        <v>10</v>
      </c>
      <c r="C8" s="27">
        <f>SUMIFS(Verticalizado!$I$4:$I$359,Verticalizado!$A$4:$A$359,A8)</f>
        <v>0</v>
      </c>
      <c r="D8" s="28">
        <f t="shared" si="0"/>
        <v>0</v>
      </c>
    </row>
    <row r="9" spans="1:4" x14ac:dyDescent="0.2">
      <c r="A9" s="27" t="s">
        <v>91</v>
      </c>
      <c r="B9" s="27">
        <f>COUNTIF(Verticalizado!$A$4:$A$359,A9)</f>
        <v>56</v>
      </c>
      <c r="C9" s="27">
        <f>SUMIFS(Verticalizado!$I$4:$I$359,Verticalizado!$A$4:$A$359,A9)</f>
        <v>0</v>
      </c>
      <c r="D9" s="28">
        <f t="shared" si="0"/>
        <v>0</v>
      </c>
    </row>
    <row r="10" spans="1:4" x14ac:dyDescent="0.2">
      <c r="A10" s="27" t="s">
        <v>185</v>
      </c>
      <c r="B10" s="27">
        <f>COUNTIF(Verticalizado!$A$4:$A$359,A10)</f>
        <v>32</v>
      </c>
      <c r="C10" s="27">
        <f>SUMIFS(Verticalizado!$I$4:$I$359,Verticalizado!$A$4:$A$359,A10)</f>
        <v>0</v>
      </c>
      <c r="D10" s="28">
        <f t="shared" si="0"/>
        <v>0</v>
      </c>
    </row>
    <row r="11" spans="1:4" x14ac:dyDescent="0.2">
      <c r="A11" s="27" t="s">
        <v>244</v>
      </c>
      <c r="B11" s="27">
        <f>COUNTIF(Verticalizado!$A$4:$A$359,A11)</f>
        <v>52</v>
      </c>
      <c r="C11" s="27">
        <f>SUMIFS(Verticalizado!$I$4:$I$359,Verticalizado!$A$4:$A$359,A11)</f>
        <v>0</v>
      </c>
      <c r="D11" s="28">
        <f t="shared" si="0"/>
        <v>0</v>
      </c>
    </row>
    <row r="12" spans="1:4" x14ac:dyDescent="0.2">
      <c r="A12" s="27" t="s">
        <v>312</v>
      </c>
      <c r="B12" s="27">
        <f>COUNTIF(Verticalizado!$A$4:$A$359,A12)</f>
        <v>72</v>
      </c>
      <c r="C12" s="27">
        <f>SUMIFS(Verticalizado!$I$4:$I$359,Verticalizado!$A$4:$A$359,A12)</f>
        <v>0</v>
      </c>
      <c r="D12" s="28">
        <f t="shared" si="0"/>
        <v>0</v>
      </c>
    </row>
    <row r="13" spans="1:4" x14ac:dyDescent="0.2">
      <c r="A13" s="27" t="s">
        <v>428</v>
      </c>
      <c r="B13" s="27">
        <f>COUNTIF(Verticalizado!$A$4:$A$359,A13)</f>
        <v>24</v>
      </c>
      <c r="C13" s="27">
        <f>SUMIFS(Verticalizado!$I$4:$I$359,Verticalizado!$A$4:$A$359,A13)</f>
        <v>0</v>
      </c>
      <c r="D13" s="28">
        <f t="shared" si="0"/>
        <v>0</v>
      </c>
    </row>
    <row r="14" spans="1:4" x14ac:dyDescent="0.2">
      <c r="A14" s="27" t="s">
        <v>453</v>
      </c>
      <c r="B14" s="27">
        <f>COUNTIF(Verticalizado!$A$4:$A$359,A14)</f>
        <v>57</v>
      </c>
      <c r="C14" s="27">
        <f>SUMIFS(Verticalizado!$I$4:$I$359,Verticalizado!$A$4:$A$359,A14)</f>
        <v>0</v>
      </c>
      <c r="D14" s="28">
        <f t="shared" si="0"/>
        <v>0</v>
      </c>
    </row>
    <row r="15" spans="1:4" x14ac:dyDescent="0.2">
      <c r="A15" s="27" t="s">
        <v>532</v>
      </c>
      <c r="B15" s="27">
        <f>COUNTIF(Verticalizado!$A$4:$A$359,A15)</f>
        <v>16</v>
      </c>
      <c r="C15" s="27">
        <f>SUMIFS(Verticalizado!$I$4:$I$359,Verticalizado!$A$4:$A$359,A15)</f>
        <v>0</v>
      </c>
      <c r="D15" s="28">
        <f t="shared" si="0"/>
        <v>0</v>
      </c>
    </row>
    <row r="16" spans="1:4" x14ac:dyDescent="0.2">
      <c r="A16" s="29" t="s">
        <v>565</v>
      </c>
      <c r="B16" s="29">
        <f>SUM(B5:B15)</f>
        <v>356</v>
      </c>
      <c r="C16" s="29">
        <f>SUM(C5:C15)</f>
        <v>0</v>
      </c>
      <c r="D16" s="30">
        <f t="shared" si="0"/>
        <v>0</v>
      </c>
    </row>
  </sheetData>
  <conditionalFormatting sqref="D5:D16">
    <cfRule type="dataBar" priority="1">
      <dataBar>
        <cfvo type="num" val="0"/>
        <cfvo type="num" val="1"/>
        <color rgb="FF60A5FA"/>
      </dataBar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4A3B8"/>
  </sheetPr>
  <dimension ref="A1:A12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20" x14ac:dyDescent="0.25">
      <c r="A1" s="24" t="s">
        <v>566</v>
      </c>
    </row>
    <row r="2" spans="1:1" x14ac:dyDescent="0.2">
      <c r="A2" s="31"/>
    </row>
    <row r="3" spans="1:1" x14ac:dyDescent="0.2">
      <c r="A3" s="31" t="s">
        <v>567</v>
      </c>
    </row>
    <row r="4" spans="1:1" x14ac:dyDescent="0.2">
      <c r="A4" s="31" t="s">
        <v>568</v>
      </c>
    </row>
    <row r="5" spans="1:1" x14ac:dyDescent="0.2">
      <c r="A5" s="31" t="s">
        <v>569</v>
      </c>
    </row>
    <row r="6" spans="1:1" x14ac:dyDescent="0.2">
      <c r="A6" s="31" t="s">
        <v>570</v>
      </c>
    </row>
    <row r="7" spans="1:1" x14ac:dyDescent="0.2">
      <c r="A7" s="31" t="s">
        <v>571</v>
      </c>
    </row>
    <row r="8" spans="1:1" x14ac:dyDescent="0.2">
      <c r="A8" s="31" t="s">
        <v>572</v>
      </c>
    </row>
    <row r="9" spans="1:1" x14ac:dyDescent="0.2">
      <c r="A9" s="31" t="s">
        <v>573</v>
      </c>
    </row>
    <row r="10" spans="1:1" x14ac:dyDescent="0.2">
      <c r="A10" s="31" t="s">
        <v>574</v>
      </c>
    </row>
    <row r="11" spans="1:1" x14ac:dyDescent="0.2">
      <c r="A11" s="31"/>
    </row>
    <row r="12" spans="1:1" x14ac:dyDescent="0.2">
      <c r="A12" s="31" t="s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Verticalizado</vt:lpstr>
      <vt:lpstr>Resumo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Simião Cavalcante</cp:lastModifiedBy>
  <dcterms:created xsi:type="dcterms:W3CDTF">2026-06-27T11:24:00Z</dcterms:created>
  <dcterms:modified xsi:type="dcterms:W3CDTF">2026-06-27T11:26:50Z</dcterms:modified>
</cp:coreProperties>
</file>